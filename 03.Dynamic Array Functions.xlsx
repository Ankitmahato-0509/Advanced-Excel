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2909a\Downloads\"/>
    </mc:Choice>
  </mc:AlternateContent>
  <xr:revisionPtr revIDLastSave="0" documentId="13_ncr:1_{012B82AA-B762-485D-9F1D-6CDA9579D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4" r:id="rId1"/>
    <sheet name="Filter" sheetId="2" r:id="rId2"/>
    <sheet name="Sort" sheetId="3" r:id="rId3"/>
    <sheet name="Sortby" sheetId="5" r:id="rId4"/>
    <sheet name="Unique" sheetId="6" r:id="rId5"/>
    <sheet name="Sequence" sheetId="7" r:id="rId6"/>
    <sheet name="Combination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8" l="1" a="1"/>
  <c r="H4" i="8" a="1"/>
  <c r="B4" i="8" a="1"/>
  <c r="B4" i="7" a="1"/>
  <c r="B5" i="6" a="1"/>
  <c r="B5" i="2" a="1"/>
  <c r="B6" i="5" a="1"/>
  <c r="B4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<sst xmlns="http://schemas.openxmlformats.org/spreadsheetml/2006/main" count="1850" uniqueCount="428">
  <si>
    <t>Character</t>
  </si>
  <si>
    <t>Gender</t>
  </si>
  <si>
    <t>Affiliation</t>
  </si>
  <si>
    <t>Role</t>
  </si>
  <si>
    <t>Bounty_M</t>
  </si>
  <si>
    <t>Age</t>
  </si>
  <si>
    <t>Devil_Fruit</t>
  </si>
  <si>
    <t>Haki</t>
  </si>
  <si>
    <t>Origin</t>
  </si>
  <si>
    <t>Status</t>
  </si>
  <si>
    <t>Rank</t>
  </si>
  <si>
    <t>Height_cm</t>
  </si>
  <si>
    <t>First_Appearance</t>
  </si>
  <si>
    <t>Nojiko</t>
  </si>
  <si>
    <t>Female</t>
  </si>
  <si>
    <t>Cocoyasi Village</t>
  </si>
  <si>
    <t>Farmer</t>
  </si>
  <si>
    <t>No</t>
  </si>
  <si>
    <t>East Blue</t>
  </si>
  <si>
    <t>Active</t>
  </si>
  <si>
    <t>Civilian</t>
  </si>
  <si>
    <t>Vista</t>
  </si>
  <si>
    <t>Male</t>
  </si>
  <si>
    <t>Whitebeard Pirates</t>
  </si>
  <si>
    <t>Commander</t>
  </si>
  <si>
    <t>Armament</t>
  </si>
  <si>
    <t>Grand Line</t>
  </si>
  <si>
    <t>Marineford</t>
  </si>
  <si>
    <t>Carmen</t>
  </si>
  <si>
    <t>Chef</t>
  </si>
  <si>
    <t>Loguetown</t>
  </si>
  <si>
    <t>Charlotte Cracker</t>
  </si>
  <si>
    <t>Big Mom Pirates</t>
  </si>
  <si>
    <t>Sweet Commander</t>
  </si>
  <si>
    <t>Yes</t>
  </si>
  <si>
    <t>Armament + Observation</t>
  </si>
  <si>
    <t>South Blue</t>
  </si>
  <si>
    <t>Whole Cake Island</t>
  </si>
  <si>
    <t>Bartholomew Kuma</t>
  </si>
  <si>
    <t>Revolutionary Army / World Government</t>
  </si>
  <si>
    <t>Warlord</t>
  </si>
  <si>
    <t>Inactive</t>
  </si>
  <si>
    <t>Sabaody Archipelago</t>
  </si>
  <si>
    <t>Dadan</t>
  </si>
  <si>
    <t>Mountain Bandits</t>
  </si>
  <si>
    <t>Leader</t>
  </si>
  <si>
    <t>Foosha Village</t>
  </si>
  <si>
    <t>Sengoku</t>
  </si>
  <si>
    <t>Marines</t>
  </si>
  <si>
    <t>Fleet Admiral</t>
  </si>
  <si>
    <t>All Three</t>
  </si>
  <si>
    <t>Retired</t>
  </si>
  <si>
    <t>Jozu</t>
  </si>
  <si>
    <t>Tsuru</t>
  </si>
  <si>
    <t>Vice Admiral</t>
  </si>
  <si>
    <t>North Blue</t>
  </si>
  <si>
    <t>Hina</t>
  </si>
  <si>
    <t>Rear Admiral</t>
  </si>
  <si>
    <t>West Blue</t>
  </si>
  <si>
    <t>Alabasta</t>
  </si>
  <si>
    <t>Daisy</t>
  </si>
  <si>
    <t>Kuja Pirates</t>
  </si>
  <si>
    <t>Warrior</t>
  </si>
  <si>
    <t>Amazon Lily</t>
  </si>
  <si>
    <t>Silvers Rayleigh</t>
  </si>
  <si>
    <t>Roger Pirates</t>
  </si>
  <si>
    <t>Vice Captain</t>
  </si>
  <si>
    <t>Dark King</t>
  </si>
  <si>
    <t>Don Krieg</t>
  </si>
  <si>
    <t>Krieg Pirates</t>
  </si>
  <si>
    <t>Admiral</t>
  </si>
  <si>
    <t>Defeated</t>
  </si>
  <si>
    <t>Pirate</t>
  </si>
  <si>
    <t>Baratie</t>
  </si>
  <si>
    <t>Eustass Kid</t>
  </si>
  <si>
    <t>Kid Pirates</t>
  </si>
  <si>
    <t>Captain</t>
  </si>
  <si>
    <t>Observation + Armament + Conqueror</t>
  </si>
  <si>
    <t>Sadi</t>
  </si>
  <si>
    <t>Impel Down</t>
  </si>
  <si>
    <t>Chief Guard</t>
  </si>
  <si>
    <t>Sugar</t>
  </si>
  <si>
    <t>Donquixote Pirates</t>
  </si>
  <si>
    <t>Officer</t>
  </si>
  <si>
    <t>Dressrosa</t>
  </si>
  <si>
    <t>Crocodile</t>
  </si>
  <si>
    <t>Baroque Works / Cross Guild</t>
  </si>
  <si>
    <t>Former Warlord</t>
  </si>
  <si>
    <t>Stussy</t>
  </si>
  <si>
    <t>CP0</t>
  </si>
  <si>
    <t>Agent</t>
  </si>
  <si>
    <t>Miss All Sunday</t>
  </si>
  <si>
    <t>Baroque Works</t>
  </si>
  <si>
    <t>Belo Betty</t>
  </si>
  <si>
    <t>Revolutionary Army</t>
  </si>
  <si>
    <t>Lulusia</t>
  </si>
  <si>
    <t>Van Augur</t>
  </si>
  <si>
    <t>Blackbeard Pirates</t>
  </si>
  <si>
    <t>Sniper</t>
  </si>
  <si>
    <t>Observation</t>
  </si>
  <si>
    <t>Titanic Captain</t>
  </si>
  <si>
    <t>Jaya</t>
  </si>
  <si>
    <t>Conis</t>
  </si>
  <si>
    <t>Skypiea</t>
  </si>
  <si>
    <t>Citizen</t>
  </si>
  <si>
    <t>Sky Island</t>
  </si>
  <si>
    <t>Spandam</t>
  </si>
  <si>
    <t>World Government</t>
  </si>
  <si>
    <t>Director</t>
  </si>
  <si>
    <t>Government</t>
  </si>
  <si>
    <t>Water 7</t>
  </si>
  <si>
    <t>Orlumbus</t>
  </si>
  <si>
    <t>Yonta Maria Grand Fleet</t>
  </si>
  <si>
    <t>Binz</t>
  </si>
  <si>
    <t>Neo Marines</t>
  </si>
  <si>
    <t>Film Z</t>
  </si>
  <si>
    <t>Baby 5</t>
  </si>
  <si>
    <t>Gecko Moria</t>
  </si>
  <si>
    <t>Thriller Bark Pirates</t>
  </si>
  <si>
    <t>Thriller Bark</t>
  </si>
  <si>
    <t>Vinsmoke Yonji</t>
  </si>
  <si>
    <t>Germa 66</t>
  </si>
  <si>
    <t>Prince</t>
  </si>
  <si>
    <t>Kaido</t>
  </si>
  <si>
    <t>Beasts Pirates</t>
  </si>
  <si>
    <t>Emperor</t>
  </si>
  <si>
    <t>Punk Hazard</t>
  </si>
  <si>
    <t>Nico Robin</t>
  </si>
  <si>
    <t>Straw Hat Pirates</t>
  </si>
  <si>
    <t>Archaeologist</t>
  </si>
  <si>
    <t>Koala</t>
  </si>
  <si>
    <t>Hody Jones</t>
  </si>
  <si>
    <t>New Fish-Man Pirates</t>
  </si>
  <si>
    <t>Fish-Man Island</t>
  </si>
  <si>
    <t>Kawamatsu</t>
  </si>
  <si>
    <t>Nine Red Scabbards</t>
  </si>
  <si>
    <t>Samurai</t>
  </si>
  <si>
    <t>Wano</t>
  </si>
  <si>
    <t>Atlas</t>
  </si>
  <si>
    <t>Vegapunk / Satellite</t>
  </si>
  <si>
    <t>Scientist</t>
  </si>
  <si>
    <t>Egghead</t>
  </si>
  <si>
    <t>Charlotte Brulee</t>
  </si>
  <si>
    <t>Kujaku</t>
  </si>
  <si>
    <t>Scopper Gaban</t>
  </si>
  <si>
    <t>Unknown</t>
  </si>
  <si>
    <t>Oden's flashback</t>
  </si>
  <si>
    <t>Gion (Momousagi)</t>
  </si>
  <si>
    <t>Reverie</t>
  </si>
  <si>
    <t>Fisher Tiger</t>
  </si>
  <si>
    <t>Sun Pirates</t>
  </si>
  <si>
    <t>Deceased</t>
  </si>
  <si>
    <t>Fish-Man Island flashback</t>
  </si>
  <si>
    <t>Franky</t>
  </si>
  <si>
    <t>Shipwright</t>
  </si>
  <si>
    <t>Kurozumi Higurashi</t>
  </si>
  <si>
    <t>Kurozumi Family</t>
  </si>
  <si>
    <t>Witch</t>
  </si>
  <si>
    <t>Wano flashback</t>
  </si>
  <si>
    <t>Catarina Devon</t>
  </si>
  <si>
    <t>Bonney's mother Ginny</t>
  </si>
  <si>
    <t>God Valley flashback</t>
  </si>
  <si>
    <t>Hatchan</t>
  </si>
  <si>
    <t>Arlong Pirates</t>
  </si>
  <si>
    <t>Arlong Park</t>
  </si>
  <si>
    <t>Sakazuki (Akainu)</t>
  </si>
  <si>
    <t>Charlotte Perospero</t>
  </si>
  <si>
    <t>Minister</t>
  </si>
  <si>
    <t>Basil Hawkins</t>
  </si>
  <si>
    <t>Hawkins Pirates</t>
  </si>
  <si>
    <t>Supernova</t>
  </si>
  <si>
    <t>Miss Merry Christmas</t>
  </si>
  <si>
    <t>Don Sai</t>
  </si>
  <si>
    <t>Happo Navy</t>
  </si>
  <si>
    <t>Fukuro</t>
  </si>
  <si>
    <t>CP9</t>
  </si>
  <si>
    <t>Vinsmoke Reiju</t>
  </si>
  <si>
    <t>Princess</t>
  </si>
  <si>
    <t>Zephyr's wife</t>
  </si>
  <si>
    <t>Marine family</t>
  </si>
  <si>
    <t>Enel</t>
  </si>
  <si>
    <t>God's Army</t>
  </si>
  <si>
    <t>God</t>
  </si>
  <si>
    <t>Vander Decken IX</t>
  </si>
  <si>
    <t>Flying Pirates</t>
  </si>
  <si>
    <t>Imprisoned</t>
  </si>
  <si>
    <t>Pedro</t>
  </si>
  <si>
    <t>Mink Tribe</t>
  </si>
  <si>
    <t>Fighter</t>
  </si>
  <si>
    <t>Zou</t>
  </si>
  <si>
    <t>Kozuki Toki</t>
  </si>
  <si>
    <t>Kozuki Family</t>
  </si>
  <si>
    <t>Former Princess</t>
  </si>
  <si>
    <t>Aramaki (Ryokugyu)</t>
  </si>
  <si>
    <t>Pica</t>
  </si>
  <si>
    <t>Saldeath</t>
  </si>
  <si>
    <t>Blue Gorillas Captain</t>
  </si>
  <si>
    <t>Killer</t>
  </si>
  <si>
    <t>Combatant</t>
  </si>
  <si>
    <t>King</t>
  </si>
  <si>
    <t>All-Star</t>
  </si>
  <si>
    <t>York</t>
  </si>
  <si>
    <t>Portgas D. Ace</t>
  </si>
  <si>
    <t>Perona</t>
  </si>
  <si>
    <t>Cavendish</t>
  </si>
  <si>
    <t>Beautiful Pirates</t>
  </si>
  <si>
    <t>Ulti</t>
  </si>
  <si>
    <t>Tobiroppo</t>
  </si>
  <si>
    <t>Nami</t>
  </si>
  <si>
    <t>Navigator</t>
  </si>
  <si>
    <t>Orange Town</t>
  </si>
  <si>
    <t>Raizo</t>
  </si>
  <si>
    <t>Ninja</t>
  </si>
  <si>
    <t>Charlotte Galette</t>
  </si>
  <si>
    <t>Aphelandra</t>
  </si>
  <si>
    <t>Charlotte Daifuku</t>
  </si>
  <si>
    <t>Sanji</t>
  </si>
  <si>
    <t>Cook</t>
  </si>
  <si>
    <t>Observation + Armament</t>
  </si>
  <si>
    <t>Donquixote Doflamingo</t>
  </si>
  <si>
    <t>Makino</t>
  </si>
  <si>
    <t>Bartender</t>
  </si>
  <si>
    <t>Romance Dawn</t>
  </si>
  <si>
    <t>Vinsmoke Judge</t>
  </si>
  <si>
    <t>King / Scientist</t>
  </si>
  <si>
    <t>Aisa</t>
  </si>
  <si>
    <t>Shandia</t>
  </si>
  <si>
    <t>Shandia Warrior</t>
  </si>
  <si>
    <t>Scratchmen Apoo</t>
  </si>
  <si>
    <t>On Air Pirates</t>
  </si>
  <si>
    <t>Sweet Pea</t>
  </si>
  <si>
    <t>Kin'emon</t>
  </si>
  <si>
    <t>Charlotte Pudding</t>
  </si>
  <si>
    <t>Marguerite</t>
  </si>
  <si>
    <t>Jack</t>
  </si>
  <si>
    <t>Marshall D. Teach</t>
  </si>
  <si>
    <t>Conqueror</t>
  </si>
  <si>
    <t>Charlotte Linlin (Big Mom)</t>
  </si>
  <si>
    <t>Elbaf flashback</t>
  </si>
  <si>
    <t>Curly Dadan</t>
  </si>
  <si>
    <t>Brook</t>
  </si>
  <si>
    <t>Musician</t>
  </si>
  <si>
    <t>Inuarashi</t>
  </si>
  <si>
    <t>Duke</t>
  </si>
  <si>
    <t>Merry</t>
  </si>
  <si>
    <t>Syrup Village</t>
  </si>
  <si>
    <t>Butler</t>
  </si>
  <si>
    <t>Tony Tony Chopper</t>
  </si>
  <si>
    <t>Doctor</t>
  </si>
  <si>
    <t>Drum Island</t>
  </si>
  <si>
    <t>Queen</t>
  </si>
  <si>
    <t>Chimney</t>
  </si>
  <si>
    <t>Child</t>
  </si>
  <si>
    <t>Bell-mère</t>
  </si>
  <si>
    <t>Marines / Cocoyasi Village</t>
  </si>
  <si>
    <t>Marine / Mother</t>
  </si>
  <si>
    <t>Marine</t>
  </si>
  <si>
    <t>Arlong Park flashback</t>
  </si>
  <si>
    <t>Charlotte Oven</t>
  </si>
  <si>
    <t>Kuina</t>
  </si>
  <si>
    <t>Shimotsuki Village</t>
  </si>
  <si>
    <t>Swordswoman</t>
  </si>
  <si>
    <t>Romance Dawn flashback</t>
  </si>
  <si>
    <t>Shanks</t>
  </si>
  <si>
    <t>Red Hair Pirates</t>
  </si>
  <si>
    <t>Kaku</t>
  </si>
  <si>
    <t>CP0 / World Government</t>
  </si>
  <si>
    <t>Shyarly</t>
  </si>
  <si>
    <t>Fortune Teller</t>
  </si>
  <si>
    <t>Cocoa</t>
  </si>
  <si>
    <t>Monkey D. Luffy</t>
  </si>
  <si>
    <t>Shaka</t>
  </si>
  <si>
    <t>Gloriosa</t>
  </si>
  <si>
    <t>Former Empress</t>
  </si>
  <si>
    <t>Daz Bones (Mr. 1)</t>
  </si>
  <si>
    <t>Kalifa</t>
  </si>
  <si>
    <t>Blueno</t>
  </si>
  <si>
    <t>Hajrudin</t>
  </si>
  <si>
    <t>New Giant Warrior Pirates</t>
  </si>
  <si>
    <t>Charlotte Smoothie</t>
  </si>
  <si>
    <t>Nekomamushi</t>
  </si>
  <si>
    <t>Bartolomeo</t>
  </si>
  <si>
    <t>Barto Club</t>
  </si>
  <si>
    <t>Camie</t>
  </si>
  <si>
    <t>Mermaid Cafe</t>
  </si>
  <si>
    <t>Mermaid</t>
  </si>
  <si>
    <t>Marigold</t>
  </si>
  <si>
    <t>Miss Monday</t>
  </si>
  <si>
    <t>Whiskey Peak</t>
  </si>
  <si>
    <t>Ashura Doji</t>
  </si>
  <si>
    <t>Denjiro</t>
  </si>
  <si>
    <t>Calgara's descendant Aisa</t>
  </si>
  <si>
    <t>Kokoro</t>
  </si>
  <si>
    <t>Station Master</t>
  </si>
  <si>
    <t>Foxy</t>
  </si>
  <si>
    <t>Foxy Pirates</t>
  </si>
  <si>
    <t>Long Ring Long Land</t>
  </si>
  <si>
    <t>Viola</t>
  </si>
  <si>
    <t>Gan Fall</t>
  </si>
  <si>
    <t>Former God</t>
  </si>
  <si>
    <t>Kuro</t>
  </si>
  <si>
    <t>Black Cat Pirates</t>
  </si>
  <si>
    <t>Urouge</t>
  </si>
  <si>
    <t>Fallen Monk Pirates</t>
  </si>
  <si>
    <t>Rob Lucci</t>
  </si>
  <si>
    <t>Morley</t>
  </si>
  <si>
    <t>Duval</t>
  </si>
  <si>
    <t>Rosy Life Riders</t>
  </si>
  <si>
    <t>Wyper</t>
  </si>
  <si>
    <t>Miss Doublefinger</t>
  </si>
  <si>
    <t>Domino</t>
  </si>
  <si>
    <t>Donquixote Rosinante</t>
  </si>
  <si>
    <t>Marines / Donquixote Family</t>
  </si>
  <si>
    <t>Marine Officer</t>
  </si>
  <si>
    <t>Dressrosa flashback</t>
  </si>
  <si>
    <t>Charlotte Katakuri</t>
  </si>
  <si>
    <t>Boa Hancock's mother</t>
  </si>
  <si>
    <t>Kuja</t>
  </si>
  <si>
    <t>Amazon Lily flashback</t>
  </si>
  <si>
    <t>Don Chinjao</t>
  </si>
  <si>
    <t>Former Leader</t>
  </si>
  <si>
    <t>Armament + Conqueror</t>
  </si>
  <si>
    <t>Baccarat</t>
  </si>
  <si>
    <t>Gran Tesoro</t>
  </si>
  <si>
    <t>Hostess</t>
  </si>
  <si>
    <t>Film Gold</t>
  </si>
  <si>
    <t>Usopp</t>
  </si>
  <si>
    <t>Carrot</t>
  </si>
  <si>
    <t>Electro</t>
  </si>
  <si>
    <t>Smoker</t>
  </si>
  <si>
    <t>Yamato</t>
  </si>
  <si>
    <t>Edison</t>
  </si>
  <si>
    <t>Boa Marigold</t>
  </si>
  <si>
    <t>Otohime</t>
  </si>
  <si>
    <t>Ryugu Kingdom</t>
  </si>
  <si>
    <t>Trebol</t>
  </si>
  <si>
    <t>Mont Blanc Cricket</t>
  </si>
  <si>
    <t>Saruyama Alliance</t>
  </si>
  <si>
    <t>X Drake</t>
  </si>
  <si>
    <t>Drake Pirates / Marines</t>
  </si>
  <si>
    <t>Jinbe</t>
  </si>
  <si>
    <t>Helmsman</t>
  </si>
  <si>
    <t>Tashigi</t>
  </si>
  <si>
    <t>Vinsmoke Ichiji</t>
  </si>
  <si>
    <t>Gin</t>
  </si>
  <si>
    <t>Combat Commander</t>
  </si>
  <si>
    <t>Lilith</t>
  </si>
  <si>
    <t>S-Snake</t>
  </si>
  <si>
    <t>Seraphim</t>
  </si>
  <si>
    <t>Tom</t>
  </si>
  <si>
    <t>Tom's Workers</t>
  </si>
  <si>
    <t>Water 7 flashback</t>
  </si>
  <si>
    <t>Trafalgar D. Water Law</t>
  </si>
  <si>
    <t>Heart Pirates</t>
  </si>
  <si>
    <t>Edward Newgate</t>
  </si>
  <si>
    <t>Issho (Fujitora)</t>
  </si>
  <si>
    <t>Inazuma</t>
  </si>
  <si>
    <t>Black Maria</t>
  </si>
  <si>
    <t>Gol D. Roger</t>
  </si>
  <si>
    <t>Pirate King</t>
  </si>
  <si>
    <t>Roger's Execution</t>
  </si>
  <si>
    <t>Galdino (Mr. 3)</t>
  </si>
  <si>
    <t>Little Garden</t>
  </si>
  <si>
    <t>Stussy (clone)</t>
  </si>
  <si>
    <t>Kikunojo</t>
  </si>
  <si>
    <t>Alvida</t>
  </si>
  <si>
    <t>Alvida Pirates</t>
  </si>
  <si>
    <t>Rebecca's mother Scarlett</t>
  </si>
  <si>
    <t>Jabra</t>
  </si>
  <si>
    <t>Enies Lobby</t>
  </si>
  <si>
    <t>Monkey D. Garp</t>
  </si>
  <si>
    <t>Rebecca</t>
  </si>
  <si>
    <t>Gladiator</t>
  </si>
  <si>
    <t>Diamante</t>
  </si>
  <si>
    <t>Miss Valentine</t>
  </si>
  <si>
    <t>Borsalino (Kizaru)</t>
  </si>
  <si>
    <t>Vergo</t>
  </si>
  <si>
    <t>Marines / Donquixote Pirates</t>
  </si>
  <si>
    <t>Paulie</t>
  </si>
  <si>
    <t>Galley-La Company</t>
  </si>
  <si>
    <t>Momonosuke</t>
  </si>
  <si>
    <t>Shogun</t>
  </si>
  <si>
    <t>Kuzan (Aokiji)</t>
  </si>
  <si>
    <t>Former Marines / Blackbeard Pirates</t>
  </si>
  <si>
    <t>Kaya</t>
  </si>
  <si>
    <t>Hannyabal's colleague Domino</t>
  </si>
  <si>
    <t>Guard</t>
  </si>
  <si>
    <t>Charlotte Amande</t>
  </si>
  <si>
    <t>Capone Bege</t>
  </si>
  <si>
    <t>Fire Tank Pirates</t>
  </si>
  <si>
    <t>Ain</t>
  </si>
  <si>
    <t>Madame Shyarly</t>
  </si>
  <si>
    <t>Roronoa Zoro</t>
  </si>
  <si>
    <t>Swordsman</t>
  </si>
  <si>
    <t>Caesar Clown</t>
  </si>
  <si>
    <t>Former Punk Hazard Scientist</t>
  </si>
  <si>
    <t>Sandersonia</t>
  </si>
  <si>
    <t>Charlotte Flampe</t>
  </si>
  <si>
    <t>Boa Sandersonia</t>
  </si>
  <si>
    <t>Jewelry Bonney</t>
  </si>
  <si>
    <t>Bonney Pirates</t>
  </si>
  <si>
    <t>Charlotte Snack</t>
  </si>
  <si>
    <t>Monet</t>
  </si>
  <si>
    <t>Iceburg</t>
  </si>
  <si>
    <t>Mayor / Shipwright</t>
  </si>
  <si>
    <t>Mayor</t>
  </si>
  <si>
    <t>Arlong</t>
  </si>
  <si>
    <t>Karasu</t>
  </si>
  <si>
    <t>Carina</t>
  </si>
  <si>
    <t>Thief</t>
  </si>
  <si>
    <t>Kozuki Oden</t>
  </si>
  <si>
    <t>Kozuki Family / Whitebeard / Roger</t>
  </si>
  <si>
    <t>Daimyo</t>
  </si>
  <si>
    <t>Miss Goldenweek</t>
  </si>
  <si>
    <t>Bentham (Bon Clay)</t>
  </si>
  <si>
    <t>Shirahoshi</t>
  </si>
  <si>
    <t>Marco</t>
  </si>
  <si>
    <t>Vinsmoke Niji</t>
  </si>
  <si>
    <t>Viola's sister Scarlet</t>
  </si>
  <si>
    <t>Boa Hancock</t>
  </si>
  <si>
    <t>oo</t>
  </si>
  <si>
    <t>Find the Crew member of Straw Hat</t>
  </si>
  <si>
    <t>Sort the dataset on based on bounty (Highest ----&gt; Lowest)</t>
  </si>
  <si>
    <t>Sort the dataset on base on Age (Highest ----&gt; Lowest)</t>
  </si>
  <si>
    <t>Find the all affilation from Dataset</t>
  </si>
  <si>
    <t>Find all the Rank from dataset</t>
  </si>
  <si>
    <t>Straw Hat members sorted by bounty</t>
  </si>
  <si>
    <t>One Piece Characters in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</si>
</sst>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8F8F8"/>
      <name val="Aptos Narrow"/>
      <family val="2"/>
      <scheme val="minor"/>
    </font>
    <font>
      <b/>
      <sz val="11"/>
      <color rgb="FFF8F8F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9B55-E412-404A-BE66-794CA4B400FD}">
  <dimension ref="A1:M196"/>
  <sheetViews>
    <sheetView tabSelected="1" workbookViewId="0">
      <selection activeCell="C21" sqref="C21"/>
    </sheetView>
  </sheetViews>
  <sheetFormatPr defaultRowHeight="14.4" x14ac:dyDescent="0.3"/>
  <cols>
    <col min="1" max="1" width="28.44140625" bestFit="1" customWidth="1"/>
    <col min="2" max="2" width="7.6640625" bestFit="1" customWidth="1"/>
    <col min="3" max="3" width="38.109375" bestFit="1" customWidth="1"/>
    <col min="4" max="4" width="19.5546875" bestFit="1" customWidth="1"/>
    <col min="5" max="5" width="10.44140625" bestFit="1" customWidth="1"/>
    <col min="6" max="6" width="4.5546875" bestFit="1" customWidth="1"/>
    <col min="7" max="7" width="10.88671875" bestFit="1" customWidth="1"/>
    <col min="8" max="8" width="35.44140625" bestFit="1" customWidth="1"/>
    <col min="9" max="9" width="15" bestFit="1" customWidth="1"/>
    <col min="10" max="10" width="11" bestFit="1" customWidth="1"/>
    <col min="11" max="11" width="18" bestFit="1" customWidth="1"/>
    <col min="12" max="12" width="10.6640625" bestFit="1" customWidth="1"/>
    <col min="13" max="13" width="24" bestFit="1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>
        <v>0</v>
      </c>
      <c r="F2" s="1">
        <v>22</v>
      </c>
      <c r="G2" s="1" t="s">
        <v>17</v>
      </c>
      <c r="H2" s="1"/>
      <c r="I2" s="1" t="s">
        <v>18</v>
      </c>
      <c r="J2" s="1" t="s">
        <v>19</v>
      </c>
      <c r="K2" s="1" t="s">
        <v>20</v>
      </c>
      <c r="L2" s="1">
        <v>170</v>
      </c>
      <c r="M2" s="1" t="s">
        <v>15</v>
      </c>
    </row>
    <row r="3" spans="1:13" x14ac:dyDescent="0.3">
      <c r="A3" s="1" t="s">
        <v>21</v>
      </c>
      <c r="B3" s="1" t="s">
        <v>22</v>
      </c>
      <c r="C3" s="1" t="s">
        <v>23</v>
      </c>
      <c r="D3" s="1" t="s">
        <v>24</v>
      </c>
      <c r="E3" s="1"/>
      <c r="F3" s="1"/>
      <c r="G3" s="1" t="s">
        <v>17</v>
      </c>
      <c r="H3" s="1" t="s">
        <v>25</v>
      </c>
      <c r="I3" s="1" t="s">
        <v>26</v>
      </c>
      <c r="J3" s="1" t="s">
        <v>19</v>
      </c>
      <c r="K3" s="1" t="s">
        <v>24</v>
      </c>
      <c r="L3" s="1">
        <v>328</v>
      </c>
      <c r="M3" s="1" t="s">
        <v>27</v>
      </c>
    </row>
    <row r="4" spans="1:13" x14ac:dyDescent="0.3">
      <c r="A4" s="1" t="s">
        <v>28</v>
      </c>
      <c r="B4" s="1" t="s">
        <v>14</v>
      </c>
      <c r="C4" s="1" t="s">
        <v>18</v>
      </c>
      <c r="D4" s="1" t="s">
        <v>29</v>
      </c>
      <c r="E4" s="1">
        <v>0</v>
      </c>
      <c r="F4" s="1">
        <v>0</v>
      </c>
      <c r="G4" s="1" t="s">
        <v>17</v>
      </c>
      <c r="H4" s="1"/>
      <c r="I4" s="1" t="s">
        <v>18</v>
      </c>
      <c r="J4" s="1" t="s">
        <v>19</v>
      </c>
      <c r="K4" s="1" t="s">
        <v>29</v>
      </c>
      <c r="L4" s="1">
        <v>0</v>
      </c>
      <c r="M4" s="1" t="s">
        <v>30</v>
      </c>
    </row>
    <row r="5" spans="1:13" x14ac:dyDescent="0.3">
      <c r="A5" s="1" t="s">
        <v>31</v>
      </c>
      <c r="B5" s="1" t="s">
        <v>22</v>
      </c>
      <c r="C5" s="1" t="s">
        <v>32</v>
      </c>
      <c r="D5" s="1" t="s">
        <v>33</v>
      </c>
      <c r="E5" s="1">
        <v>860</v>
      </c>
      <c r="F5" s="1">
        <v>45</v>
      </c>
      <c r="G5" s="1" t="s">
        <v>34</v>
      </c>
      <c r="H5" s="1" t="s">
        <v>35</v>
      </c>
      <c r="I5" s="1" t="s">
        <v>36</v>
      </c>
      <c r="J5" s="1" t="s">
        <v>19</v>
      </c>
      <c r="K5" s="1" t="s">
        <v>33</v>
      </c>
      <c r="L5" s="1">
        <v>307</v>
      </c>
      <c r="M5" s="1" t="s">
        <v>37</v>
      </c>
    </row>
    <row r="6" spans="1:13" x14ac:dyDescent="0.3">
      <c r="A6" s="1" t="s">
        <v>38</v>
      </c>
      <c r="B6" s="1" t="s">
        <v>22</v>
      </c>
      <c r="C6" s="1" t="s">
        <v>39</v>
      </c>
      <c r="D6" s="1" t="s">
        <v>40</v>
      </c>
      <c r="E6" s="1">
        <v>296</v>
      </c>
      <c r="F6" s="1">
        <v>47</v>
      </c>
      <c r="G6" s="1" t="s">
        <v>34</v>
      </c>
      <c r="H6" s="1"/>
      <c r="I6" s="1" t="s">
        <v>36</v>
      </c>
      <c r="J6" s="1" t="s">
        <v>41</v>
      </c>
      <c r="K6" s="1" t="s">
        <v>40</v>
      </c>
      <c r="L6" s="1">
        <v>689</v>
      </c>
      <c r="M6" s="1" t="s">
        <v>42</v>
      </c>
    </row>
    <row r="7" spans="1:13" x14ac:dyDescent="0.3">
      <c r="A7" s="1" t="s">
        <v>43</v>
      </c>
      <c r="B7" s="1" t="s">
        <v>14</v>
      </c>
      <c r="C7" s="1" t="s">
        <v>44</v>
      </c>
      <c r="D7" s="1" t="s">
        <v>45</v>
      </c>
      <c r="E7" s="1">
        <v>0</v>
      </c>
      <c r="F7" s="1">
        <v>55</v>
      </c>
      <c r="G7" s="1" t="s">
        <v>17</v>
      </c>
      <c r="H7" s="1"/>
      <c r="I7" s="1" t="s">
        <v>18</v>
      </c>
      <c r="J7" s="1" t="s">
        <v>19</v>
      </c>
      <c r="K7" s="1" t="s">
        <v>45</v>
      </c>
      <c r="L7" s="1">
        <v>212</v>
      </c>
      <c r="M7" s="1" t="s">
        <v>46</v>
      </c>
    </row>
    <row r="8" spans="1:13" x14ac:dyDescent="0.3">
      <c r="A8" s="1" t="s">
        <v>47</v>
      </c>
      <c r="B8" s="1" t="s">
        <v>22</v>
      </c>
      <c r="C8" s="1" t="s">
        <v>48</v>
      </c>
      <c r="D8" s="1" t="s">
        <v>49</v>
      </c>
      <c r="E8" s="1">
        <v>3000</v>
      </c>
      <c r="F8" s="1">
        <v>79</v>
      </c>
      <c r="G8" s="1" t="s">
        <v>34</v>
      </c>
      <c r="H8" s="1" t="s">
        <v>50</v>
      </c>
      <c r="I8" s="1" t="s">
        <v>26</v>
      </c>
      <c r="J8" s="1" t="s">
        <v>51</v>
      </c>
      <c r="K8" s="1" t="s">
        <v>49</v>
      </c>
      <c r="L8" s="1">
        <v>278</v>
      </c>
      <c r="M8" s="1" t="s">
        <v>27</v>
      </c>
    </row>
    <row r="9" spans="1:13" x14ac:dyDescent="0.3">
      <c r="A9" s="1" t="s">
        <v>52</v>
      </c>
      <c r="B9" s="1" t="s">
        <v>22</v>
      </c>
      <c r="C9" s="1" t="s">
        <v>23</v>
      </c>
      <c r="D9" s="1" t="s">
        <v>24</v>
      </c>
      <c r="E9" s="1"/>
      <c r="F9" s="1"/>
      <c r="G9" s="1" t="s">
        <v>34</v>
      </c>
      <c r="H9" s="1" t="s">
        <v>25</v>
      </c>
      <c r="I9" s="1" t="s">
        <v>26</v>
      </c>
      <c r="J9" s="1" t="s">
        <v>19</v>
      </c>
      <c r="K9" s="1" t="s">
        <v>24</v>
      </c>
      <c r="L9" s="1">
        <v>503</v>
      </c>
      <c r="M9" s="1" t="s">
        <v>27</v>
      </c>
    </row>
    <row r="10" spans="1:13" x14ac:dyDescent="0.3">
      <c r="A10" s="1" t="s">
        <v>53</v>
      </c>
      <c r="B10" s="1" t="s">
        <v>14</v>
      </c>
      <c r="C10" s="1" t="s">
        <v>48</v>
      </c>
      <c r="D10" s="1" t="s">
        <v>54</v>
      </c>
      <c r="E10" s="1">
        <v>0</v>
      </c>
      <c r="F10" s="1">
        <v>76</v>
      </c>
      <c r="G10" s="1" t="s">
        <v>34</v>
      </c>
      <c r="H10" s="1"/>
      <c r="I10" s="1" t="s">
        <v>55</v>
      </c>
      <c r="J10" s="1" t="s">
        <v>19</v>
      </c>
      <c r="K10" s="1" t="s">
        <v>54</v>
      </c>
      <c r="L10" s="1">
        <v>204</v>
      </c>
      <c r="M10" s="1" t="s">
        <v>27</v>
      </c>
    </row>
    <row r="11" spans="1:13" x14ac:dyDescent="0.3">
      <c r="A11" s="1" t="s">
        <v>56</v>
      </c>
      <c r="B11" s="1" t="s">
        <v>14</v>
      </c>
      <c r="C11" s="1" t="s">
        <v>48</v>
      </c>
      <c r="D11" s="1" t="s">
        <v>57</v>
      </c>
      <c r="E11" s="1">
        <v>50</v>
      </c>
      <c r="F11" s="1">
        <v>34</v>
      </c>
      <c r="G11" s="1" t="s">
        <v>34</v>
      </c>
      <c r="H11" s="1"/>
      <c r="I11" s="1" t="s">
        <v>58</v>
      </c>
      <c r="J11" s="1" t="s">
        <v>19</v>
      </c>
      <c r="K11" s="1" t="s">
        <v>57</v>
      </c>
      <c r="L11" s="1">
        <v>181</v>
      </c>
      <c r="M11" s="1" t="s">
        <v>59</v>
      </c>
    </row>
    <row r="12" spans="1:13" x14ac:dyDescent="0.3">
      <c r="A12" s="1" t="s">
        <v>60</v>
      </c>
      <c r="B12" s="1" t="s">
        <v>14</v>
      </c>
      <c r="C12" s="1" t="s">
        <v>61</v>
      </c>
      <c r="D12" s="1" t="s">
        <v>62</v>
      </c>
      <c r="E12" s="1">
        <v>0</v>
      </c>
      <c r="F12" s="1">
        <v>0</v>
      </c>
      <c r="G12" s="1" t="s">
        <v>17</v>
      </c>
      <c r="H12" s="1"/>
      <c r="I12" s="1" t="s">
        <v>63</v>
      </c>
      <c r="J12" s="1" t="s">
        <v>19</v>
      </c>
      <c r="K12" s="1" t="s">
        <v>62</v>
      </c>
      <c r="L12" s="1">
        <v>0</v>
      </c>
      <c r="M12" s="1" t="s">
        <v>63</v>
      </c>
    </row>
    <row r="13" spans="1:13" x14ac:dyDescent="0.3">
      <c r="A13" s="1" t="s">
        <v>64</v>
      </c>
      <c r="B13" s="1" t="s">
        <v>22</v>
      </c>
      <c r="C13" s="1" t="s">
        <v>65</v>
      </c>
      <c r="D13" s="1" t="s">
        <v>66</v>
      </c>
      <c r="E13" s="1"/>
      <c r="F13" s="1"/>
      <c r="G13" s="1" t="s">
        <v>17</v>
      </c>
      <c r="H13" s="1" t="s">
        <v>50</v>
      </c>
      <c r="I13" s="1" t="s">
        <v>26</v>
      </c>
      <c r="J13" s="1" t="s">
        <v>19</v>
      </c>
      <c r="K13" s="1" t="s">
        <v>67</v>
      </c>
      <c r="L13" s="1">
        <v>188</v>
      </c>
      <c r="M13" s="1" t="s">
        <v>42</v>
      </c>
    </row>
    <row r="14" spans="1:13" x14ac:dyDescent="0.3">
      <c r="A14" s="1" t="s">
        <v>68</v>
      </c>
      <c r="B14" s="1" t="s">
        <v>22</v>
      </c>
      <c r="C14" s="1" t="s">
        <v>69</v>
      </c>
      <c r="D14" s="1" t="s">
        <v>70</v>
      </c>
      <c r="E14" s="1">
        <v>17</v>
      </c>
      <c r="F14" s="1">
        <v>44</v>
      </c>
      <c r="G14" s="1" t="s">
        <v>17</v>
      </c>
      <c r="H14" s="1"/>
      <c r="I14" s="1" t="s">
        <v>18</v>
      </c>
      <c r="J14" s="1" t="s">
        <v>71</v>
      </c>
      <c r="K14" s="1" t="s">
        <v>72</v>
      </c>
      <c r="L14" s="1">
        <v>243</v>
      </c>
      <c r="M14" s="1" t="s">
        <v>73</v>
      </c>
    </row>
    <row r="15" spans="1:13" x14ac:dyDescent="0.3">
      <c r="A15" s="1" t="s">
        <v>74</v>
      </c>
      <c r="B15" s="1" t="s">
        <v>22</v>
      </c>
      <c r="C15" s="1" t="s">
        <v>75</v>
      </c>
      <c r="D15" s="1" t="s">
        <v>76</v>
      </c>
      <c r="E15" s="1">
        <v>3000</v>
      </c>
      <c r="F15" s="1">
        <v>23</v>
      </c>
      <c r="G15" s="1" t="s">
        <v>34</v>
      </c>
      <c r="H15" s="1" t="s">
        <v>77</v>
      </c>
      <c r="I15" s="1" t="s">
        <v>36</v>
      </c>
      <c r="J15" s="1" t="s">
        <v>19</v>
      </c>
      <c r="K15" s="1" t="s">
        <v>76</v>
      </c>
      <c r="L15" s="1">
        <v>205</v>
      </c>
      <c r="M15" s="1" t="s">
        <v>42</v>
      </c>
    </row>
    <row r="16" spans="1:13" x14ac:dyDescent="0.3">
      <c r="A16" s="1" t="s">
        <v>78</v>
      </c>
      <c r="B16" s="1" t="s">
        <v>14</v>
      </c>
      <c r="C16" s="1" t="s">
        <v>79</v>
      </c>
      <c r="D16" s="1" t="s">
        <v>80</v>
      </c>
      <c r="E16" s="1">
        <v>0</v>
      </c>
      <c r="F16" s="1">
        <v>0</v>
      </c>
      <c r="G16" s="1" t="s">
        <v>17</v>
      </c>
      <c r="H16" s="1"/>
      <c r="I16" s="1" t="s">
        <v>26</v>
      </c>
      <c r="J16" s="1" t="s">
        <v>19</v>
      </c>
      <c r="K16" s="1" t="s">
        <v>80</v>
      </c>
      <c r="L16" s="1">
        <v>183</v>
      </c>
      <c r="M16" s="1" t="s">
        <v>79</v>
      </c>
    </row>
    <row r="17" spans="1:13" x14ac:dyDescent="0.3">
      <c r="A17" s="1" t="s">
        <v>81</v>
      </c>
      <c r="B17" s="1" t="s">
        <v>14</v>
      </c>
      <c r="C17" s="1" t="s">
        <v>82</v>
      </c>
      <c r="D17" s="1" t="s">
        <v>83</v>
      </c>
      <c r="E17" s="1">
        <v>0</v>
      </c>
      <c r="F17" s="1">
        <v>22</v>
      </c>
      <c r="G17" s="1" t="s">
        <v>34</v>
      </c>
      <c r="H17" s="1"/>
      <c r="I17" s="1" t="s">
        <v>55</v>
      </c>
      <c r="J17" s="1" t="s">
        <v>19</v>
      </c>
      <c r="K17" s="1" t="s">
        <v>83</v>
      </c>
      <c r="L17" s="1">
        <v>110</v>
      </c>
      <c r="M17" s="1" t="s">
        <v>84</v>
      </c>
    </row>
    <row r="18" spans="1:13" x14ac:dyDescent="0.3">
      <c r="A18" s="1" t="s">
        <v>85</v>
      </c>
      <c r="B18" s="1" t="s">
        <v>22</v>
      </c>
      <c r="C18" s="1" t="s">
        <v>86</v>
      </c>
      <c r="D18" s="1" t="s">
        <v>87</v>
      </c>
      <c r="E18" s="1">
        <v>1965</v>
      </c>
      <c r="F18" s="1">
        <v>46</v>
      </c>
      <c r="G18" s="1" t="s">
        <v>34</v>
      </c>
      <c r="H18" s="1" t="s">
        <v>25</v>
      </c>
      <c r="I18" s="1" t="s">
        <v>26</v>
      </c>
      <c r="J18" s="1" t="s">
        <v>19</v>
      </c>
      <c r="K18" s="1" t="s">
        <v>87</v>
      </c>
      <c r="L18" s="1">
        <v>253</v>
      </c>
      <c r="M18" s="1" t="s">
        <v>59</v>
      </c>
    </row>
    <row r="19" spans="1:13" x14ac:dyDescent="0.3">
      <c r="A19" s="1" t="s">
        <v>88</v>
      </c>
      <c r="B19" s="1" t="s">
        <v>14</v>
      </c>
      <c r="C19" s="1" t="s">
        <v>89</v>
      </c>
      <c r="D19" s="1" t="s">
        <v>90</v>
      </c>
      <c r="E19" s="1">
        <v>570</v>
      </c>
      <c r="F19" s="1">
        <v>36</v>
      </c>
      <c r="G19" s="1" t="s">
        <v>34</v>
      </c>
      <c r="H19" s="1"/>
      <c r="I19" s="1" t="s">
        <v>26</v>
      </c>
      <c r="J19" s="1" t="s">
        <v>19</v>
      </c>
      <c r="K19" s="1" t="s">
        <v>89</v>
      </c>
      <c r="L19" s="1">
        <v>179</v>
      </c>
      <c r="M19" s="1" t="s">
        <v>37</v>
      </c>
    </row>
    <row r="20" spans="1:13" x14ac:dyDescent="0.3">
      <c r="A20" s="1" t="s">
        <v>91</v>
      </c>
      <c r="B20" s="1" t="s">
        <v>14</v>
      </c>
      <c r="C20" s="1" t="s">
        <v>92</v>
      </c>
      <c r="D20" s="1" t="s">
        <v>83</v>
      </c>
      <c r="E20" s="1">
        <v>930</v>
      </c>
      <c r="F20" s="1">
        <v>28</v>
      </c>
      <c r="G20" s="1" t="s">
        <v>34</v>
      </c>
      <c r="H20" s="1"/>
      <c r="I20" s="1" t="s">
        <v>58</v>
      </c>
      <c r="J20" s="1" t="s">
        <v>19</v>
      </c>
      <c r="K20" s="1" t="s">
        <v>83</v>
      </c>
      <c r="L20" s="1">
        <v>188</v>
      </c>
      <c r="M20" s="1" t="s">
        <v>59</v>
      </c>
    </row>
    <row r="21" spans="1:13" x14ac:dyDescent="0.3">
      <c r="A21" s="1" t="s">
        <v>93</v>
      </c>
      <c r="B21" s="1" t="s">
        <v>14</v>
      </c>
      <c r="C21" s="1" t="s">
        <v>94</v>
      </c>
      <c r="D21" s="1" t="s">
        <v>24</v>
      </c>
      <c r="E21" s="1">
        <v>0</v>
      </c>
      <c r="F21" s="1">
        <v>34</v>
      </c>
      <c r="G21" s="1" t="s">
        <v>34</v>
      </c>
      <c r="H21" s="1"/>
      <c r="I21" s="1" t="s">
        <v>18</v>
      </c>
      <c r="J21" s="1" t="s">
        <v>19</v>
      </c>
      <c r="K21" s="1" t="s">
        <v>24</v>
      </c>
      <c r="L21" s="1">
        <v>196</v>
      </c>
      <c r="M21" s="1" t="s">
        <v>95</v>
      </c>
    </row>
    <row r="22" spans="1:13" x14ac:dyDescent="0.3">
      <c r="A22" s="1" t="s">
        <v>96</v>
      </c>
      <c r="B22" s="1" t="s">
        <v>14</v>
      </c>
      <c r="C22" s="1" t="s">
        <v>97</v>
      </c>
      <c r="D22" s="1" t="s">
        <v>98</v>
      </c>
      <c r="E22" s="1">
        <v>0</v>
      </c>
      <c r="F22" s="1">
        <v>27</v>
      </c>
      <c r="G22" s="1" t="s">
        <v>17</v>
      </c>
      <c r="H22" s="1" t="s">
        <v>99</v>
      </c>
      <c r="I22" s="1" t="s">
        <v>55</v>
      </c>
      <c r="J22" s="1" t="s">
        <v>19</v>
      </c>
      <c r="K22" s="1" t="s">
        <v>100</v>
      </c>
      <c r="L22" s="1">
        <v>340</v>
      </c>
      <c r="M22" s="1" t="s">
        <v>101</v>
      </c>
    </row>
    <row r="23" spans="1:13" x14ac:dyDescent="0.3">
      <c r="A23" s="1" t="s">
        <v>102</v>
      </c>
      <c r="B23" s="1" t="s">
        <v>14</v>
      </c>
      <c r="C23" s="1" t="s">
        <v>103</v>
      </c>
      <c r="D23" s="1" t="s">
        <v>104</v>
      </c>
      <c r="E23" s="1">
        <v>0</v>
      </c>
      <c r="F23" s="1">
        <v>21</v>
      </c>
      <c r="G23" s="1" t="s">
        <v>17</v>
      </c>
      <c r="H23" s="1"/>
      <c r="I23" s="1" t="s">
        <v>105</v>
      </c>
      <c r="J23" s="1" t="s">
        <v>19</v>
      </c>
      <c r="K23" s="1" t="s">
        <v>20</v>
      </c>
      <c r="L23" s="1">
        <v>176</v>
      </c>
      <c r="M23" s="1" t="s">
        <v>103</v>
      </c>
    </row>
    <row r="24" spans="1:13" x14ac:dyDescent="0.3">
      <c r="A24" s="1" t="s">
        <v>106</v>
      </c>
      <c r="B24" s="1" t="s">
        <v>22</v>
      </c>
      <c r="C24" s="1" t="s">
        <v>107</v>
      </c>
      <c r="D24" s="1" t="s">
        <v>108</v>
      </c>
      <c r="E24" s="1">
        <v>0</v>
      </c>
      <c r="F24" s="1">
        <v>39</v>
      </c>
      <c r="G24" s="1" t="s">
        <v>17</v>
      </c>
      <c r="H24" s="1"/>
      <c r="I24" s="1" t="s">
        <v>26</v>
      </c>
      <c r="J24" s="1" t="s">
        <v>19</v>
      </c>
      <c r="K24" s="1" t="s">
        <v>109</v>
      </c>
      <c r="L24" s="1">
        <v>192</v>
      </c>
      <c r="M24" s="1" t="s">
        <v>110</v>
      </c>
    </row>
    <row r="25" spans="1:13" x14ac:dyDescent="0.3">
      <c r="A25" s="1" t="s">
        <v>111</v>
      </c>
      <c r="B25" s="1" t="s">
        <v>22</v>
      </c>
      <c r="C25" s="1" t="s">
        <v>112</v>
      </c>
      <c r="D25" s="1" t="s">
        <v>70</v>
      </c>
      <c r="E25" s="1">
        <v>148</v>
      </c>
      <c r="F25" s="1">
        <v>42</v>
      </c>
      <c r="G25" s="1" t="s">
        <v>17</v>
      </c>
      <c r="H25" s="1"/>
      <c r="I25" s="1" t="s">
        <v>26</v>
      </c>
      <c r="J25" s="1" t="s">
        <v>19</v>
      </c>
      <c r="K25" s="1" t="s">
        <v>24</v>
      </c>
      <c r="L25" s="1">
        <v>480</v>
      </c>
      <c r="M25" s="1" t="s">
        <v>84</v>
      </c>
    </row>
    <row r="26" spans="1:13" x14ac:dyDescent="0.3">
      <c r="A26" s="1" t="s">
        <v>113</v>
      </c>
      <c r="B26" s="1" t="s">
        <v>14</v>
      </c>
      <c r="C26" s="1" t="s">
        <v>114</v>
      </c>
      <c r="D26" s="1" t="s">
        <v>83</v>
      </c>
      <c r="E26" s="1">
        <v>0</v>
      </c>
      <c r="F26" s="1">
        <v>0</v>
      </c>
      <c r="G26" s="1" t="s">
        <v>34</v>
      </c>
      <c r="H26" s="1"/>
      <c r="I26" s="1" t="s">
        <v>36</v>
      </c>
      <c r="J26" s="1" t="s">
        <v>19</v>
      </c>
      <c r="K26" s="1" t="s">
        <v>83</v>
      </c>
      <c r="L26" s="1">
        <v>0</v>
      </c>
      <c r="M26" s="1" t="s">
        <v>115</v>
      </c>
    </row>
    <row r="27" spans="1:13" x14ac:dyDescent="0.3">
      <c r="A27" s="1" t="s">
        <v>116</v>
      </c>
      <c r="B27" s="1" t="s">
        <v>14</v>
      </c>
      <c r="C27" s="1" t="s">
        <v>82</v>
      </c>
      <c r="D27" s="1" t="s">
        <v>83</v>
      </c>
      <c r="E27" s="1">
        <v>100</v>
      </c>
      <c r="F27" s="1">
        <v>24</v>
      </c>
      <c r="G27" s="1" t="s">
        <v>34</v>
      </c>
      <c r="H27" s="1"/>
      <c r="I27" s="1" t="s">
        <v>55</v>
      </c>
      <c r="J27" s="1" t="s">
        <v>19</v>
      </c>
      <c r="K27" s="1" t="s">
        <v>83</v>
      </c>
      <c r="L27" s="1">
        <v>181</v>
      </c>
      <c r="M27" s="1" t="s">
        <v>84</v>
      </c>
    </row>
    <row r="28" spans="1:13" x14ac:dyDescent="0.3">
      <c r="A28" s="1" t="s">
        <v>117</v>
      </c>
      <c r="B28" s="1" t="s">
        <v>22</v>
      </c>
      <c r="C28" s="1" t="s">
        <v>118</v>
      </c>
      <c r="D28" s="1" t="s">
        <v>76</v>
      </c>
      <c r="E28" s="1">
        <v>320</v>
      </c>
      <c r="F28" s="1">
        <v>50</v>
      </c>
      <c r="G28" s="1" t="s">
        <v>34</v>
      </c>
      <c r="H28" s="1"/>
      <c r="I28" s="1" t="s">
        <v>58</v>
      </c>
      <c r="J28" s="1" t="s">
        <v>19</v>
      </c>
      <c r="K28" s="1" t="s">
        <v>40</v>
      </c>
      <c r="L28" s="1">
        <v>692</v>
      </c>
      <c r="M28" s="1" t="s">
        <v>119</v>
      </c>
    </row>
    <row r="29" spans="1:13" x14ac:dyDescent="0.3">
      <c r="A29" s="1" t="s">
        <v>120</v>
      </c>
      <c r="B29" s="1" t="s">
        <v>22</v>
      </c>
      <c r="C29" s="1" t="s">
        <v>121</v>
      </c>
      <c r="D29" s="1" t="s">
        <v>122</v>
      </c>
      <c r="E29" s="1"/>
      <c r="F29" s="1">
        <v>21</v>
      </c>
      <c r="G29" s="1" t="s">
        <v>17</v>
      </c>
      <c r="H29" s="1"/>
      <c r="I29" s="1" t="s">
        <v>55</v>
      </c>
      <c r="J29" s="1" t="s">
        <v>19</v>
      </c>
      <c r="K29" s="1" t="s">
        <v>122</v>
      </c>
      <c r="L29" s="1">
        <v>194</v>
      </c>
      <c r="M29" s="1" t="s">
        <v>37</v>
      </c>
    </row>
    <row r="30" spans="1:13" x14ac:dyDescent="0.3">
      <c r="A30" s="1" t="s">
        <v>123</v>
      </c>
      <c r="B30" s="1" t="s">
        <v>22</v>
      </c>
      <c r="C30" s="1" t="s">
        <v>124</v>
      </c>
      <c r="D30" s="1" t="s">
        <v>76</v>
      </c>
      <c r="E30" s="1">
        <v>4611</v>
      </c>
      <c r="F30" s="1">
        <v>59</v>
      </c>
      <c r="G30" s="1" t="s">
        <v>34</v>
      </c>
      <c r="H30" s="1" t="s">
        <v>50</v>
      </c>
      <c r="I30" s="1" t="s">
        <v>26</v>
      </c>
      <c r="J30" s="1" t="s">
        <v>71</v>
      </c>
      <c r="K30" s="1" t="s">
        <v>125</v>
      </c>
      <c r="L30" s="1">
        <v>710</v>
      </c>
      <c r="M30" s="1" t="s">
        <v>126</v>
      </c>
    </row>
    <row r="31" spans="1:13" x14ac:dyDescent="0.3">
      <c r="A31" s="1" t="s">
        <v>127</v>
      </c>
      <c r="B31" s="1" t="s">
        <v>14</v>
      </c>
      <c r="C31" s="1" t="s">
        <v>128</v>
      </c>
      <c r="D31" s="1" t="s">
        <v>129</v>
      </c>
      <c r="E31" s="1">
        <v>930</v>
      </c>
      <c r="F31" s="1">
        <v>30</v>
      </c>
      <c r="G31" s="1" t="s">
        <v>34</v>
      </c>
      <c r="H31" s="1"/>
      <c r="I31" s="1" t="s">
        <v>58</v>
      </c>
      <c r="J31" s="1" t="s">
        <v>19</v>
      </c>
      <c r="K31" s="1" t="s">
        <v>83</v>
      </c>
      <c r="L31" s="1">
        <v>188</v>
      </c>
      <c r="M31" s="1" t="s">
        <v>59</v>
      </c>
    </row>
    <row r="32" spans="1:13" x14ac:dyDescent="0.3">
      <c r="A32" s="1" t="s">
        <v>130</v>
      </c>
      <c r="B32" s="1" t="s">
        <v>14</v>
      </c>
      <c r="C32" s="1" t="s">
        <v>94</v>
      </c>
      <c r="D32" s="1" t="s">
        <v>83</v>
      </c>
      <c r="E32" s="1">
        <v>0</v>
      </c>
      <c r="F32" s="1">
        <v>23</v>
      </c>
      <c r="G32" s="1" t="s">
        <v>17</v>
      </c>
      <c r="H32" s="1" t="s">
        <v>35</v>
      </c>
      <c r="I32" s="1" t="s">
        <v>18</v>
      </c>
      <c r="J32" s="1" t="s">
        <v>19</v>
      </c>
      <c r="K32" s="1" t="s">
        <v>83</v>
      </c>
      <c r="L32" s="1">
        <v>160</v>
      </c>
      <c r="M32" s="1" t="s">
        <v>84</v>
      </c>
    </row>
    <row r="33" spans="1:13" x14ac:dyDescent="0.3">
      <c r="A33" s="1" t="s">
        <v>131</v>
      </c>
      <c r="B33" s="1" t="s">
        <v>22</v>
      </c>
      <c r="C33" s="1" t="s">
        <v>132</v>
      </c>
      <c r="D33" s="1" t="s">
        <v>76</v>
      </c>
      <c r="E33" s="1">
        <v>20</v>
      </c>
      <c r="F33" s="1">
        <v>30</v>
      </c>
      <c r="G33" s="1" t="s">
        <v>34</v>
      </c>
      <c r="H33" s="1"/>
      <c r="I33" s="1" t="s">
        <v>133</v>
      </c>
      <c r="J33" s="1" t="s">
        <v>71</v>
      </c>
      <c r="K33" s="1" t="s">
        <v>76</v>
      </c>
      <c r="L33" s="1">
        <v>331</v>
      </c>
      <c r="M33" s="1" t="s">
        <v>133</v>
      </c>
    </row>
    <row r="34" spans="1:13" x14ac:dyDescent="0.3">
      <c r="A34" s="1" t="s">
        <v>134</v>
      </c>
      <c r="B34" s="1" t="s">
        <v>22</v>
      </c>
      <c r="C34" s="1" t="s">
        <v>135</v>
      </c>
      <c r="D34" s="1" t="s">
        <v>136</v>
      </c>
      <c r="E34" s="1"/>
      <c r="F34" s="1"/>
      <c r="G34" s="1" t="s">
        <v>17</v>
      </c>
      <c r="H34" s="1" t="s">
        <v>35</v>
      </c>
      <c r="I34" s="1" t="s">
        <v>137</v>
      </c>
      <c r="J34" s="1" t="s">
        <v>19</v>
      </c>
      <c r="K34" s="1" t="s">
        <v>136</v>
      </c>
      <c r="L34" s="1">
        <v>271</v>
      </c>
      <c r="M34" s="1" t="s">
        <v>137</v>
      </c>
    </row>
    <row r="35" spans="1:13" x14ac:dyDescent="0.3">
      <c r="A35" s="1" t="s">
        <v>138</v>
      </c>
      <c r="B35" s="1" t="s">
        <v>14</v>
      </c>
      <c r="C35" s="1" t="s">
        <v>139</v>
      </c>
      <c r="D35" s="1" t="s">
        <v>140</v>
      </c>
      <c r="E35" s="1">
        <v>0</v>
      </c>
      <c r="F35" s="1">
        <v>24</v>
      </c>
      <c r="G35" s="1" t="s">
        <v>17</v>
      </c>
      <c r="H35" s="1"/>
      <c r="I35" s="1" t="s">
        <v>26</v>
      </c>
      <c r="J35" s="1" t="s">
        <v>19</v>
      </c>
      <c r="K35" s="1" t="s">
        <v>140</v>
      </c>
      <c r="L35" s="1">
        <v>0</v>
      </c>
      <c r="M35" s="1" t="s">
        <v>141</v>
      </c>
    </row>
    <row r="36" spans="1:13" x14ac:dyDescent="0.3">
      <c r="A36" s="1" t="s">
        <v>142</v>
      </c>
      <c r="B36" s="1" t="s">
        <v>14</v>
      </c>
      <c r="C36" s="1" t="s">
        <v>32</v>
      </c>
      <c r="D36" s="1" t="s">
        <v>83</v>
      </c>
      <c r="E36" s="1">
        <v>0</v>
      </c>
      <c r="F36" s="1">
        <v>43</v>
      </c>
      <c r="G36" s="1" t="s">
        <v>34</v>
      </c>
      <c r="H36" s="1"/>
      <c r="I36" s="1" t="s">
        <v>36</v>
      </c>
      <c r="J36" s="1" t="s">
        <v>19</v>
      </c>
      <c r="K36" s="1" t="s">
        <v>83</v>
      </c>
      <c r="L36" s="1">
        <v>350</v>
      </c>
      <c r="M36" s="1" t="s">
        <v>37</v>
      </c>
    </row>
    <row r="37" spans="1:13" x14ac:dyDescent="0.3">
      <c r="A37" s="1" t="s">
        <v>143</v>
      </c>
      <c r="B37" s="1" t="s">
        <v>14</v>
      </c>
      <c r="C37" s="1" t="s">
        <v>48</v>
      </c>
      <c r="D37" s="1" t="s">
        <v>57</v>
      </c>
      <c r="E37" s="1">
        <v>0</v>
      </c>
      <c r="F37" s="1">
        <v>0</v>
      </c>
      <c r="G37" s="1" t="s">
        <v>34</v>
      </c>
      <c r="H37" s="1"/>
      <c r="I37" s="1" t="s">
        <v>26</v>
      </c>
      <c r="J37" s="1" t="s">
        <v>19</v>
      </c>
      <c r="K37" s="1" t="s">
        <v>57</v>
      </c>
      <c r="L37" s="1">
        <v>180</v>
      </c>
      <c r="M37" s="1" t="s">
        <v>141</v>
      </c>
    </row>
    <row r="38" spans="1:13" x14ac:dyDescent="0.3">
      <c r="A38" s="1" t="s">
        <v>144</v>
      </c>
      <c r="B38" s="1" t="s">
        <v>22</v>
      </c>
      <c r="C38" s="1" t="s">
        <v>65</v>
      </c>
      <c r="D38" s="1" t="s">
        <v>83</v>
      </c>
      <c r="E38" s="1"/>
      <c r="F38" s="1"/>
      <c r="G38" s="1" t="s">
        <v>17</v>
      </c>
      <c r="H38" s="1"/>
      <c r="I38" s="1" t="s">
        <v>26</v>
      </c>
      <c r="J38" s="1" t="s">
        <v>145</v>
      </c>
      <c r="K38" s="1" t="s">
        <v>83</v>
      </c>
      <c r="L38" s="1"/>
      <c r="M38" s="1" t="s">
        <v>146</v>
      </c>
    </row>
    <row r="39" spans="1:13" x14ac:dyDescent="0.3">
      <c r="A39" s="1" t="s">
        <v>147</v>
      </c>
      <c r="B39" s="1" t="s">
        <v>14</v>
      </c>
      <c r="C39" s="1" t="s">
        <v>48</v>
      </c>
      <c r="D39" s="1" t="s">
        <v>54</v>
      </c>
      <c r="E39" s="1">
        <v>0</v>
      </c>
      <c r="F39" s="1">
        <v>56</v>
      </c>
      <c r="G39" s="1" t="s">
        <v>17</v>
      </c>
      <c r="H39" s="1" t="s">
        <v>35</v>
      </c>
      <c r="I39" s="1" t="s">
        <v>26</v>
      </c>
      <c r="J39" s="1" t="s">
        <v>19</v>
      </c>
      <c r="K39" s="1" t="s">
        <v>54</v>
      </c>
      <c r="L39" s="1">
        <v>185</v>
      </c>
      <c r="M39" s="1" t="s">
        <v>148</v>
      </c>
    </row>
    <row r="40" spans="1:13" x14ac:dyDescent="0.3">
      <c r="A40" s="1" t="s">
        <v>149</v>
      </c>
      <c r="B40" s="1" t="s">
        <v>22</v>
      </c>
      <c r="C40" s="1" t="s">
        <v>150</v>
      </c>
      <c r="D40" s="1" t="s">
        <v>76</v>
      </c>
      <c r="E40" s="1">
        <v>230</v>
      </c>
      <c r="F40" s="1">
        <v>48</v>
      </c>
      <c r="G40" s="1" t="s">
        <v>17</v>
      </c>
      <c r="H40" s="1"/>
      <c r="I40" s="1" t="s">
        <v>26</v>
      </c>
      <c r="J40" s="1" t="s">
        <v>151</v>
      </c>
      <c r="K40" s="1" t="s">
        <v>76</v>
      </c>
      <c r="L40" s="1">
        <v>261</v>
      </c>
      <c r="M40" s="1" t="s">
        <v>152</v>
      </c>
    </row>
    <row r="41" spans="1:13" x14ac:dyDescent="0.3">
      <c r="A41" s="1" t="s">
        <v>153</v>
      </c>
      <c r="B41" s="1" t="s">
        <v>22</v>
      </c>
      <c r="C41" s="1" t="s">
        <v>128</v>
      </c>
      <c r="D41" s="1" t="s">
        <v>154</v>
      </c>
      <c r="E41" s="1">
        <v>394</v>
      </c>
      <c r="F41" s="1">
        <v>36</v>
      </c>
      <c r="G41" s="1" t="s">
        <v>17</v>
      </c>
      <c r="H41" s="1"/>
      <c r="I41" s="1" t="s">
        <v>36</v>
      </c>
      <c r="J41" s="1" t="s">
        <v>19</v>
      </c>
      <c r="K41" s="1" t="s">
        <v>154</v>
      </c>
      <c r="L41" s="1">
        <v>240</v>
      </c>
      <c r="M41" s="1" t="s">
        <v>110</v>
      </c>
    </row>
    <row r="42" spans="1:13" x14ac:dyDescent="0.3">
      <c r="A42" s="1" t="s">
        <v>155</v>
      </c>
      <c r="B42" s="1" t="s">
        <v>14</v>
      </c>
      <c r="C42" s="1" t="s">
        <v>156</v>
      </c>
      <c r="D42" s="1" t="s">
        <v>157</v>
      </c>
      <c r="E42" s="1">
        <v>0</v>
      </c>
      <c r="F42" s="1">
        <v>0</v>
      </c>
      <c r="G42" s="1" t="s">
        <v>34</v>
      </c>
      <c r="H42" s="1"/>
      <c r="I42" s="1" t="s">
        <v>137</v>
      </c>
      <c r="J42" s="1" t="s">
        <v>151</v>
      </c>
      <c r="K42" s="1" t="s">
        <v>157</v>
      </c>
      <c r="L42" s="1">
        <v>180</v>
      </c>
      <c r="M42" s="1" t="s">
        <v>158</v>
      </c>
    </row>
    <row r="43" spans="1:13" x14ac:dyDescent="0.3">
      <c r="A43" s="1" t="s">
        <v>159</v>
      </c>
      <c r="B43" s="1" t="s">
        <v>14</v>
      </c>
      <c r="C43" s="1" t="s">
        <v>97</v>
      </c>
      <c r="D43" s="1" t="s">
        <v>100</v>
      </c>
      <c r="E43" s="1">
        <v>0</v>
      </c>
      <c r="F43" s="1">
        <v>36</v>
      </c>
      <c r="G43" s="1" t="s">
        <v>34</v>
      </c>
      <c r="H43" s="1"/>
      <c r="I43" s="1" t="s">
        <v>26</v>
      </c>
      <c r="J43" s="1" t="s">
        <v>19</v>
      </c>
      <c r="K43" s="1" t="s">
        <v>100</v>
      </c>
      <c r="L43" s="1">
        <v>361</v>
      </c>
      <c r="M43" s="1" t="s">
        <v>27</v>
      </c>
    </row>
    <row r="44" spans="1:13" x14ac:dyDescent="0.3">
      <c r="A44" s="1" t="s">
        <v>160</v>
      </c>
      <c r="B44" s="1" t="s">
        <v>14</v>
      </c>
      <c r="C44" s="1" t="s">
        <v>94</v>
      </c>
      <c r="D44" s="1" t="s">
        <v>83</v>
      </c>
      <c r="E44" s="1">
        <v>0</v>
      </c>
      <c r="F44" s="1">
        <v>0</v>
      </c>
      <c r="G44" s="1" t="s">
        <v>17</v>
      </c>
      <c r="H44" s="1"/>
      <c r="I44" s="1" t="s">
        <v>36</v>
      </c>
      <c r="J44" s="1" t="s">
        <v>151</v>
      </c>
      <c r="K44" s="1" t="s">
        <v>83</v>
      </c>
      <c r="L44" s="1">
        <v>0</v>
      </c>
      <c r="M44" s="1" t="s">
        <v>161</v>
      </c>
    </row>
    <row r="45" spans="1:13" x14ac:dyDescent="0.3">
      <c r="A45" s="1" t="s">
        <v>162</v>
      </c>
      <c r="B45" s="1" t="s">
        <v>22</v>
      </c>
      <c r="C45" s="1" t="s">
        <v>163</v>
      </c>
      <c r="D45" s="1" t="s">
        <v>83</v>
      </c>
      <c r="E45" s="1">
        <v>8</v>
      </c>
      <c r="F45" s="1">
        <v>38</v>
      </c>
      <c r="G45" s="1" t="s">
        <v>17</v>
      </c>
      <c r="H45" s="1"/>
      <c r="I45" s="1" t="s">
        <v>26</v>
      </c>
      <c r="J45" s="1" t="s">
        <v>19</v>
      </c>
      <c r="K45" s="1" t="s">
        <v>83</v>
      </c>
      <c r="L45" s="1">
        <v>220</v>
      </c>
      <c r="M45" s="1" t="s">
        <v>164</v>
      </c>
    </row>
    <row r="46" spans="1:13" x14ac:dyDescent="0.3">
      <c r="A46" s="1" t="s">
        <v>165</v>
      </c>
      <c r="B46" s="1" t="s">
        <v>22</v>
      </c>
      <c r="C46" s="1" t="s">
        <v>48</v>
      </c>
      <c r="D46" s="1" t="s">
        <v>49</v>
      </c>
      <c r="E46" s="1">
        <v>5000</v>
      </c>
      <c r="F46" s="1">
        <v>55</v>
      </c>
      <c r="G46" s="1" t="s">
        <v>34</v>
      </c>
      <c r="H46" s="1" t="s">
        <v>35</v>
      </c>
      <c r="I46" s="1" t="s">
        <v>55</v>
      </c>
      <c r="J46" s="1" t="s">
        <v>19</v>
      </c>
      <c r="K46" s="1" t="s">
        <v>49</v>
      </c>
      <c r="L46" s="1">
        <v>306</v>
      </c>
      <c r="M46" s="1" t="s">
        <v>27</v>
      </c>
    </row>
    <row r="47" spans="1:13" x14ac:dyDescent="0.3">
      <c r="A47" s="1" t="s">
        <v>166</v>
      </c>
      <c r="B47" s="1" t="s">
        <v>22</v>
      </c>
      <c r="C47" s="1" t="s">
        <v>32</v>
      </c>
      <c r="D47" s="1" t="s">
        <v>167</v>
      </c>
      <c r="E47" s="1">
        <v>700</v>
      </c>
      <c r="F47" s="1">
        <v>50</v>
      </c>
      <c r="G47" s="1" t="s">
        <v>34</v>
      </c>
      <c r="H47" s="1"/>
      <c r="I47" s="1" t="s">
        <v>36</v>
      </c>
      <c r="J47" s="1" t="s">
        <v>19</v>
      </c>
      <c r="K47" s="1" t="s">
        <v>167</v>
      </c>
      <c r="L47" s="1">
        <v>333</v>
      </c>
      <c r="M47" s="1" t="s">
        <v>37</v>
      </c>
    </row>
    <row r="48" spans="1:13" x14ac:dyDescent="0.3">
      <c r="A48" s="1" t="s">
        <v>168</v>
      </c>
      <c r="B48" s="1" t="s">
        <v>22</v>
      </c>
      <c r="C48" s="1" t="s">
        <v>169</v>
      </c>
      <c r="D48" s="1" t="s">
        <v>76</v>
      </c>
      <c r="E48" s="1">
        <v>320</v>
      </c>
      <c r="F48" s="1">
        <v>31</v>
      </c>
      <c r="G48" s="1" t="s">
        <v>34</v>
      </c>
      <c r="H48" s="1" t="s">
        <v>35</v>
      </c>
      <c r="I48" s="1" t="s">
        <v>55</v>
      </c>
      <c r="J48" s="1" t="s">
        <v>71</v>
      </c>
      <c r="K48" s="1" t="s">
        <v>170</v>
      </c>
      <c r="L48" s="1">
        <v>210</v>
      </c>
      <c r="M48" s="1" t="s">
        <v>42</v>
      </c>
    </row>
    <row r="49" spans="1:13" x14ac:dyDescent="0.3">
      <c r="A49" s="1" t="s">
        <v>171</v>
      </c>
      <c r="B49" s="1" t="s">
        <v>14</v>
      </c>
      <c r="C49" s="1" t="s">
        <v>92</v>
      </c>
      <c r="D49" s="1" t="s">
        <v>83</v>
      </c>
      <c r="E49" s="1">
        <v>14</v>
      </c>
      <c r="F49" s="1">
        <v>49</v>
      </c>
      <c r="G49" s="1" t="s">
        <v>34</v>
      </c>
      <c r="H49" s="1"/>
      <c r="I49" s="1" t="s">
        <v>58</v>
      </c>
      <c r="J49" s="1" t="s">
        <v>71</v>
      </c>
      <c r="K49" s="1" t="s">
        <v>83</v>
      </c>
      <c r="L49" s="1">
        <v>156</v>
      </c>
      <c r="M49" s="1" t="s">
        <v>59</v>
      </c>
    </row>
    <row r="50" spans="1:13" x14ac:dyDescent="0.3">
      <c r="A50" s="1" t="s">
        <v>172</v>
      </c>
      <c r="B50" s="1" t="s">
        <v>22</v>
      </c>
      <c r="C50" s="1" t="s">
        <v>173</v>
      </c>
      <c r="D50" s="1" t="s">
        <v>45</v>
      </c>
      <c r="E50" s="1">
        <v>210</v>
      </c>
      <c r="F50" s="1">
        <v>28</v>
      </c>
      <c r="G50" s="1" t="s">
        <v>17</v>
      </c>
      <c r="H50" s="1" t="s">
        <v>35</v>
      </c>
      <c r="I50" s="1" t="s">
        <v>26</v>
      </c>
      <c r="J50" s="1" t="s">
        <v>19</v>
      </c>
      <c r="K50" s="1" t="s">
        <v>24</v>
      </c>
      <c r="L50" s="1">
        <v>242</v>
      </c>
      <c r="M50" s="1" t="s">
        <v>84</v>
      </c>
    </row>
    <row r="51" spans="1:13" x14ac:dyDescent="0.3">
      <c r="A51" s="1" t="s">
        <v>174</v>
      </c>
      <c r="B51" s="1" t="s">
        <v>22</v>
      </c>
      <c r="C51" s="1" t="s">
        <v>175</v>
      </c>
      <c r="D51" s="1" t="s">
        <v>90</v>
      </c>
      <c r="E51" s="1">
        <v>0</v>
      </c>
      <c r="F51" s="1">
        <v>29</v>
      </c>
      <c r="G51" s="1" t="s">
        <v>17</v>
      </c>
      <c r="H51" s="1"/>
      <c r="I51" s="1" t="s">
        <v>26</v>
      </c>
      <c r="J51" s="1" t="s">
        <v>19</v>
      </c>
      <c r="K51" s="1" t="s">
        <v>175</v>
      </c>
      <c r="L51" s="1">
        <v>331</v>
      </c>
      <c r="M51" s="1" t="s">
        <v>110</v>
      </c>
    </row>
    <row r="52" spans="1:13" x14ac:dyDescent="0.3">
      <c r="A52" s="1" t="s">
        <v>176</v>
      </c>
      <c r="B52" s="1" t="s">
        <v>14</v>
      </c>
      <c r="C52" s="1" t="s">
        <v>121</v>
      </c>
      <c r="D52" s="1" t="s">
        <v>177</v>
      </c>
      <c r="E52" s="1">
        <v>130</v>
      </c>
      <c r="F52" s="1">
        <v>24</v>
      </c>
      <c r="G52" s="1" t="s">
        <v>17</v>
      </c>
      <c r="H52" s="1"/>
      <c r="I52" s="1" t="s">
        <v>55</v>
      </c>
      <c r="J52" s="1" t="s">
        <v>19</v>
      </c>
      <c r="K52" s="1" t="s">
        <v>177</v>
      </c>
      <c r="L52" s="1">
        <v>173</v>
      </c>
      <c r="M52" s="1" t="s">
        <v>37</v>
      </c>
    </row>
    <row r="53" spans="1:13" x14ac:dyDescent="0.3">
      <c r="A53" s="1" t="s">
        <v>178</v>
      </c>
      <c r="B53" s="1" t="s">
        <v>14</v>
      </c>
      <c r="C53" s="1" t="s">
        <v>179</v>
      </c>
      <c r="D53" s="1" t="s">
        <v>20</v>
      </c>
      <c r="E53" s="1">
        <v>0</v>
      </c>
      <c r="F53" s="1">
        <v>0</v>
      </c>
      <c r="G53" s="1" t="s">
        <v>17</v>
      </c>
      <c r="H53" s="1"/>
      <c r="I53" s="1" t="s">
        <v>26</v>
      </c>
      <c r="J53" s="1" t="s">
        <v>151</v>
      </c>
      <c r="K53" s="1" t="s">
        <v>20</v>
      </c>
      <c r="L53" s="1">
        <v>0</v>
      </c>
      <c r="M53" s="1" t="s">
        <v>115</v>
      </c>
    </row>
    <row r="54" spans="1:13" x14ac:dyDescent="0.3">
      <c r="A54" s="1" t="s">
        <v>180</v>
      </c>
      <c r="B54" s="1" t="s">
        <v>22</v>
      </c>
      <c r="C54" s="1" t="s">
        <v>181</v>
      </c>
      <c r="D54" s="1" t="s">
        <v>182</v>
      </c>
      <c r="E54" s="1">
        <v>500</v>
      </c>
      <c r="F54" s="1">
        <v>39</v>
      </c>
      <c r="G54" s="1" t="s">
        <v>34</v>
      </c>
      <c r="H54" s="1" t="s">
        <v>99</v>
      </c>
      <c r="I54" s="1" t="s">
        <v>105</v>
      </c>
      <c r="J54" s="1" t="s">
        <v>19</v>
      </c>
      <c r="K54" s="1" t="s">
        <v>182</v>
      </c>
      <c r="L54" s="1">
        <v>266</v>
      </c>
      <c r="M54" s="1" t="s">
        <v>103</v>
      </c>
    </row>
    <row r="55" spans="1:13" x14ac:dyDescent="0.3">
      <c r="A55" s="1" t="s">
        <v>183</v>
      </c>
      <c r="B55" s="1" t="s">
        <v>22</v>
      </c>
      <c r="C55" s="1" t="s">
        <v>184</v>
      </c>
      <c r="D55" s="1" t="s">
        <v>76</v>
      </c>
      <c r="E55" s="1"/>
      <c r="F55" s="1">
        <v>35</v>
      </c>
      <c r="G55" s="1" t="s">
        <v>34</v>
      </c>
      <c r="H55" s="1"/>
      <c r="I55" s="1" t="s">
        <v>133</v>
      </c>
      <c r="J55" s="1" t="s">
        <v>185</v>
      </c>
      <c r="K55" s="1" t="s">
        <v>76</v>
      </c>
      <c r="L55" s="1">
        <v>352</v>
      </c>
      <c r="M55" s="1" t="s">
        <v>133</v>
      </c>
    </row>
    <row r="56" spans="1:13" x14ac:dyDescent="0.3">
      <c r="A56" s="1" t="s">
        <v>186</v>
      </c>
      <c r="B56" s="1" t="s">
        <v>22</v>
      </c>
      <c r="C56" s="1" t="s">
        <v>187</v>
      </c>
      <c r="D56" s="1" t="s">
        <v>188</v>
      </c>
      <c r="E56" s="1">
        <v>382</v>
      </c>
      <c r="F56" s="1">
        <v>32</v>
      </c>
      <c r="G56" s="1" t="s">
        <v>17</v>
      </c>
      <c r="H56" s="1" t="s">
        <v>35</v>
      </c>
      <c r="I56" s="1" t="s">
        <v>189</v>
      </c>
      <c r="J56" s="1" t="s">
        <v>151</v>
      </c>
      <c r="K56" s="1" t="s">
        <v>188</v>
      </c>
      <c r="L56" s="1">
        <v>233</v>
      </c>
      <c r="M56" s="1" t="s">
        <v>189</v>
      </c>
    </row>
    <row r="57" spans="1:13" x14ac:dyDescent="0.3">
      <c r="A57" s="1" t="s">
        <v>190</v>
      </c>
      <c r="B57" s="1" t="s">
        <v>14</v>
      </c>
      <c r="C57" s="1" t="s">
        <v>191</v>
      </c>
      <c r="D57" s="1" t="s">
        <v>192</v>
      </c>
      <c r="E57" s="1">
        <v>0</v>
      </c>
      <c r="F57" s="1">
        <v>0</v>
      </c>
      <c r="G57" s="1" t="s">
        <v>34</v>
      </c>
      <c r="H57" s="1"/>
      <c r="I57" s="1" t="s">
        <v>26</v>
      </c>
      <c r="J57" s="1" t="s">
        <v>151</v>
      </c>
      <c r="K57" s="1" t="s">
        <v>177</v>
      </c>
      <c r="L57" s="1">
        <v>190</v>
      </c>
      <c r="M57" s="1" t="s">
        <v>158</v>
      </c>
    </row>
    <row r="58" spans="1:13" x14ac:dyDescent="0.3">
      <c r="A58" s="1" t="s">
        <v>193</v>
      </c>
      <c r="B58" s="1" t="s">
        <v>22</v>
      </c>
      <c r="C58" s="1" t="s">
        <v>48</v>
      </c>
      <c r="D58" s="1" t="s">
        <v>70</v>
      </c>
      <c r="E58" s="1">
        <v>3000</v>
      </c>
      <c r="F58" s="1">
        <v>41</v>
      </c>
      <c r="G58" s="1" t="s">
        <v>34</v>
      </c>
      <c r="H58" s="1" t="s">
        <v>35</v>
      </c>
      <c r="I58" s="1" t="s">
        <v>55</v>
      </c>
      <c r="J58" s="1" t="s">
        <v>19</v>
      </c>
      <c r="K58" s="1" t="s">
        <v>70</v>
      </c>
      <c r="L58" s="1">
        <v>200</v>
      </c>
      <c r="M58" s="1" t="s">
        <v>137</v>
      </c>
    </row>
    <row r="59" spans="1:13" x14ac:dyDescent="0.3">
      <c r="A59" s="1" t="s">
        <v>194</v>
      </c>
      <c r="B59" s="1" t="s">
        <v>22</v>
      </c>
      <c r="C59" s="1" t="s">
        <v>82</v>
      </c>
      <c r="D59" s="1" t="s">
        <v>83</v>
      </c>
      <c r="E59" s="1">
        <v>990</v>
      </c>
      <c r="F59" s="1">
        <v>40</v>
      </c>
      <c r="G59" s="1" t="s">
        <v>34</v>
      </c>
      <c r="H59" s="1"/>
      <c r="I59" s="1" t="s">
        <v>55</v>
      </c>
      <c r="J59" s="1" t="s">
        <v>71</v>
      </c>
      <c r="K59" s="1" t="s">
        <v>83</v>
      </c>
      <c r="L59" s="1">
        <v>470</v>
      </c>
      <c r="M59" s="1" t="s">
        <v>84</v>
      </c>
    </row>
    <row r="60" spans="1:13" x14ac:dyDescent="0.3">
      <c r="A60" s="1" t="s">
        <v>195</v>
      </c>
      <c r="B60" s="1" t="s">
        <v>14</v>
      </c>
      <c r="C60" s="1" t="s">
        <v>79</v>
      </c>
      <c r="D60" s="1" t="s">
        <v>196</v>
      </c>
      <c r="E60" s="1">
        <v>0</v>
      </c>
      <c r="F60" s="1">
        <v>0</v>
      </c>
      <c r="G60" s="1" t="s">
        <v>17</v>
      </c>
      <c r="H60" s="1"/>
      <c r="I60" s="1" t="s">
        <v>26</v>
      </c>
      <c r="J60" s="1" t="s">
        <v>19</v>
      </c>
      <c r="K60" s="1" t="s">
        <v>76</v>
      </c>
      <c r="L60" s="1">
        <v>0</v>
      </c>
      <c r="M60" s="1" t="s">
        <v>79</v>
      </c>
    </row>
    <row r="61" spans="1:13" x14ac:dyDescent="0.3">
      <c r="A61" s="1" t="s">
        <v>197</v>
      </c>
      <c r="B61" s="1" t="s">
        <v>22</v>
      </c>
      <c r="C61" s="1" t="s">
        <v>75</v>
      </c>
      <c r="D61" s="1" t="s">
        <v>198</v>
      </c>
      <c r="E61" s="1">
        <v>200</v>
      </c>
      <c r="F61" s="1">
        <v>27</v>
      </c>
      <c r="G61" s="1" t="s">
        <v>17</v>
      </c>
      <c r="H61" s="1" t="s">
        <v>35</v>
      </c>
      <c r="I61" s="1" t="s">
        <v>36</v>
      </c>
      <c r="J61" s="1" t="s">
        <v>19</v>
      </c>
      <c r="K61" s="1" t="s">
        <v>170</v>
      </c>
      <c r="L61" s="1">
        <v>195</v>
      </c>
      <c r="M61" s="1" t="s">
        <v>42</v>
      </c>
    </row>
    <row r="62" spans="1:13" x14ac:dyDescent="0.3">
      <c r="A62" s="1" t="s">
        <v>199</v>
      </c>
      <c r="B62" s="1" t="s">
        <v>22</v>
      </c>
      <c r="C62" s="1" t="s">
        <v>124</v>
      </c>
      <c r="D62" s="1" t="s">
        <v>200</v>
      </c>
      <c r="E62" s="1">
        <v>1390</v>
      </c>
      <c r="F62" s="1">
        <v>47</v>
      </c>
      <c r="G62" s="1" t="s">
        <v>17</v>
      </c>
      <c r="H62" s="1" t="s">
        <v>35</v>
      </c>
      <c r="I62" s="1" t="s">
        <v>26</v>
      </c>
      <c r="J62" s="1" t="s">
        <v>71</v>
      </c>
      <c r="K62" s="1" t="s">
        <v>200</v>
      </c>
      <c r="L62" s="1">
        <v>613</v>
      </c>
      <c r="M62" s="1" t="s">
        <v>137</v>
      </c>
    </row>
    <row r="63" spans="1:13" x14ac:dyDescent="0.3">
      <c r="A63" s="1" t="s">
        <v>201</v>
      </c>
      <c r="B63" s="1" t="s">
        <v>14</v>
      </c>
      <c r="C63" s="1" t="s">
        <v>139</v>
      </c>
      <c r="D63" s="1" t="s">
        <v>140</v>
      </c>
      <c r="E63" s="1">
        <v>0</v>
      </c>
      <c r="F63" s="1">
        <v>24</v>
      </c>
      <c r="G63" s="1" t="s">
        <v>17</v>
      </c>
      <c r="H63" s="1"/>
      <c r="I63" s="1" t="s">
        <v>26</v>
      </c>
      <c r="J63" s="1" t="s">
        <v>19</v>
      </c>
      <c r="K63" s="1" t="s">
        <v>140</v>
      </c>
      <c r="L63" s="1">
        <v>0</v>
      </c>
      <c r="M63" s="1" t="s">
        <v>141</v>
      </c>
    </row>
    <row r="64" spans="1:13" x14ac:dyDescent="0.3">
      <c r="A64" s="1" t="s">
        <v>202</v>
      </c>
      <c r="B64" s="1" t="s">
        <v>22</v>
      </c>
      <c r="C64" s="1" t="s">
        <v>23</v>
      </c>
      <c r="D64" s="1" t="s">
        <v>24</v>
      </c>
      <c r="E64" s="1">
        <v>550</v>
      </c>
      <c r="F64" s="1">
        <v>20</v>
      </c>
      <c r="G64" s="1" t="s">
        <v>34</v>
      </c>
      <c r="H64" s="1" t="s">
        <v>35</v>
      </c>
      <c r="I64" s="1" t="s">
        <v>36</v>
      </c>
      <c r="J64" s="1" t="s">
        <v>151</v>
      </c>
      <c r="K64" s="1" t="s">
        <v>24</v>
      </c>
      <c r="L64" s="1">
        <v>185</v>
      </c>
      <c r="M64" s="1" t="s">
        <v>59</v>
      </c>
    </row>
    <row r="65" spans="1:13" x14ac:dyDescent="0.3">
      <c r="A65" s="1" t="s">
        <v>203</v>
      </c>
      <c r="B65" s="1" t="s">
        <v>14</v>
      </c>
      <c r="C65" s="1" t="s">
        <v>118</v>
      </c>
      <c r="D65" s="1" t="s">
        <v>83</v>
      </c>
      <c r="E65" s="1">
        <v>32</v>
      </c>
      <c r="F65" s="1">
        <v>25</v>
      </c>
      <c r="G65" s="1" t="s">
        <v>34</v>
      </c>
      <c r="H65" s="1"/>
      <c r="I65" s="1" t="s">
        <v>58</v>
      </c>
      <c r="J65" s="1" t="s">
        <v>19</v>
      </c>
      <c r="K65" s="1" t="s">
        <v>83</v>
      </c>
      <c r="L65" s="1">
        <v>160</v>
      </c>
      <c r="M65" s="1" t="s">
        <v>119</v>
      </c>
    </row>
    <row r="66" spans="1:13" x14ac:dyDescent="0.3">
      <c r="A66" s="1" t="s">
        <v>204</v>
      </c>
      <c r="B66" s="1" t="s">
        <v>22</v>
      </c>
      <c r="C66" s="1" t="s">
        <v>205</v>
      </c>
      <c r="D66" s="1" t="s">
        <v>76</v>
      </c>
      <c r="E66" s="1">
        <v>330</v>
      </c>
      <c r="F66" s="1">
        <v>26</v>
      </c>
      <c r="G66" s="1" t="s">
        <v>17</v>
      </c>
      <c r="H66" s="1"/>
      <c r="I66" s="1" t="s">
        <v>26</v>
      </c>
      <c r="J66" s="1" t="s">
        <v>19</v>
      </c>
      <c r="K66" s="1" t="s">
        <v>170</v>
      </c>
      <c r="L66" s="1">
        <v>208</v>
      </c>
      <c r="M66" s="1" t="s">
        <v>84</v>
      </c>
    </row>
    <row r="67" spans="1:13" x14ac:dyDescent="0.3">
      <c r="A67" s="1" t="s">
        <v>206</v>
      </c>
      <c r="B67" s="1" t="s">
        <v>14</v>
      </c>
      <c r="C67" s="1" t="s">
        <v>124</v>
      </c>
      <c r="D67" s="1" t="s">
        <v>207</v>
      </c>
      <c r="E67" s="1">
        <v>400</v>
      </c>
      <c r="F67" s="1">
        <v>22</v>
      </c>
      <c r="G67" s="1" t="s">
        <v>34</v>
      </c>
      <c r="H67" s="1" t="s">
        <v>35</v>
      </c>
      <c r="I67" s="1" t="s">
        <v>26</v>
      </c>
      <c r="J67" s="1" t="s">
        <v>19</v>
      </c>
      <c r="K67" s="1" t="s">
        <v>207</v>
      </c>
      <c r="L67" s="1">
        <v>173</v>
      </c>
      <c r="M67" s="1" t="s">
        <v>137</v>
      </c>
    </row>
    <row r="68" spans="1:13" x14ac:dyDescent="0.3">
      <c r="A68" s="1" t="s">
        <v>208</v>
      </c>
      <c r="B68" s="1" t="s">
        <v>14</v>
      </c>
      <c r="C68" s="1" t="s">
        <v>128</v>
      </c>
      <c r="D68" s="1" t="s">
        <v>209</v>
      </c>
      <c r="E68" s="1">
        <v>366</v>
      </c>
      <c r="F68" s="1">
        <v>20</v>
      </c>
      <c r="G68" s="1" t="s">
        <v>17</v>
      </c>
      <c r="H68" s="1"/>
      <c r="I68" s="1" t="s">
        <v>18</v>
      </c>
      <c r="J68" s="1" t="s">
        <v>19</v>
      </c>
      <c r="K68" s="1" t="s">
        <v>209</v>
      </c>
      <c r="L68" s="1">
        <v>170</v>
      </c>
      <c r="M68" s="1" t="s">
        <v>210</v>
      </c>
    </row>
    <row r="69" spans="1:13" x14ac:dyDescent="0.3">
      <c r="A69" s="1" t="s">
        <v>211</v>
      </c>
      <c r="B69" s="1" t="s">
        <v>22</v>
      </c>
      <c r="C69" s="1" t="s">
        <v>135</v>
      </c>
      <c r="D69" s="1" t="s">
        <v>212</v>
      </c>
      <c r="E69" s="1"/>
      <c r="F69" s="1"/>
      <c r="G69" s="1" t="s">
        <v>17</v>
      </c>
      <c r="H69" s="1"/>
      <c r="I69" s="1" t="s">
        <v>137</v>
      </c>
      <c r="J69" s="1" t="s">
        <v>19</v>
      </c>
      <c r="K69" s="1" t="s">
        <v>212</v>
      </c>
      <c r="L69" s="1">
        <v>311</v>
      </c>
      <c r="M69" s="1" t="s">
        <v>189</v>
      </c>
    </row>
    <row r="70" spans="1:13" x14ac:dyDescent="0.3">
      <c r="A70" s="1" t="s">
        <v>213</v>
      </c>
      <c r="B70" s="1" t="s">
        <v>14</v>
      </c>
      <c r="C70" s="1" t="s">
        <v>32</v>
      </c>
      <c r="D70" s="1" t="s">
        <v>83</v>
      </c>
      <c r="E70" s="1">
        <v>0</v>
      </c>
      <c r="F70" s="1">
        <v>31</v>
      </c>
      <c r="G70" s="1" t="s">
        <v>34</v>
      </c>
      <c r="H70" s="1"/>
      <c r="I70" s="1" t="s">
        <v>36</v>
      </c>
      <c r="J70" s="1" t="s">
        <v>19</v>
      </c>
      <c r="K70" s="1" t="s">
        <v>83</v>
      </c>
      <c r="L70" s="1">
        <v>158</v>
      </c>
      <c r="M70" s="1" t="s">
        <v>37</v>
      </c>
    </row>
    <row r="71" spans="1:13" x14ac:dyDescent="0.3">
      <c r="A71" s="1" t="s">
        <v>214</v>
      </c>
      <c r="B71" s="1" t="s">
        <v>14</v>
      </c>
      <c r="C71" s="1" t="s">
        <v>61</v>
      </c>
      <c r="D71" s="1" t="s">
        <v>62</v>
      </c>
      <c r="E71" s="1">
        <v>0</v>
      </c>
      <c r="F71" s="1">
        <v>0</v>
      </c>
      <c r="G71" s="1" t="s">
        <v>17</v>
      </c>
      <c r="H71" s="1"/>
      <c r="I71" s="1" t="s">
        <v>63</v>
      </c>
      <c r="J71" s="1" t="s">
        <v>19</v>
      </c>
      <c r="K71" s="1" t="s">
        <v>62</v>
      </c>
      <c r="L71" s="1">
        <v>0</v>
      </c>
      <c r="M71" s="1" t="s">
        <v>63</v>
      </c>
    </row>
    <row r="72" spans="1:13" x14ac:dyDescent="0.3">
      <c r="A72" s="1" t="s">
        <v>215</v>
      </c>
      <c r="B72" s="1" t="s">
        <v>22</v>
      </c>
      <c r="C72" s="1" t="s">
        <v>32</v>
      </c>
      <c r="D72" s="1" t="s">
        <v>167</v>
      </c>
      <c r="E72" s="1">
        <v>300</v>
      </c>
      <c r="F72" s="1">
        <v>48</v>
      </c>
      <c r="G72" s="1" t="s">
        <v>34</v>
      </c>
      <c r="H72" s="1"/>
      <c r="I72" s="1" t="s">
        <v>36</v>
      </c>
      <c r="J72" s="1" t="s">
        <v>19</v>
      </c>
      <c r="K72" s="1" t="s">
        <v>167</v>
      </c>
      <c r="L72" s="1">
        <v>489</v>
      </c>
      <c r="M72" s="1" t="s">
        <v>37</v>
      </c>
    </row>
    <row r="73" spans="1:13" x14ac:dyDescent="0.3">
      <c r="A73" s="1" t="s">
        <v>216</v>
      </c>
      <c r="B73" s="1" t="s">
        <v>22</v>
      </c>
      <c r="C73" s="1" t="s">
        <v>128</v>
      </c>
      <c r="D73" s="1" t="s">
        <v>217</v>
      </c>
      <c r="E73" s="1">
        <v>1032</v>
      </c>
      <c r="F73" s="1">
        <v>21</v>
      </c>
      <c r="G73" s="1" t="s">
        <v>17</v>
      </c>
      <c r="H73" s="1" t="s">
        <v>218</v>
      </c>
      <c r="I73" s="1" t="s">
        <v>55</v>
      </c>
      <c r="J73" s="1" t="s">
        <v>19</v>
      </c>
      <c r="K73" s="1" t="s">
        <v>188</v>
      </c>
      <c r="L73" s="1">
        <v>180</v>
      </c>
      <c r="M73" s="1" t="s">
        <v>73</v>
      </c>
    </row>
    <row r="74" spans="1:13" x14ac:dyDescent="0.3">
      <c r="A74" s="1" t="s">
        <v>219</v>
      </c>
      <c r="B74" s="1" t="s">
        <v>22</v>
      </c>
      <c r="C74" s="1" t="s">
        <v>82</v>
      </c>
      <c r="D74" s="1" t="s">
        <v>76</v>
      </c>
      <c r="E74" s="1">
        <v>3400</v>
      </c>
      <c r="F74" s="1">
        <v>41</v>
      </c>
      <c r="G74" s="1" t="s">
        <v>34</v>
      </c>
      <c r="H74" s="1" t="s">
        <v>50</v>
      </c>
      <c r="I74" s="1" t="s">
        <v>55</v>
      </c>
      <c r="J74" s="1" t="s">
        <v>185</v>
      </c>
      <c r="K74" s="1" t="s">
        <v>40</v>
      </c>
      <c r="L74" s="1">
        <v>305</v>
      </c>
      <c r="M74" s="1" t="s">
        <v>101</v>
      </c>
    </row>
    <row r="75" spans="1:13" x14ac:dyDescent="0.3">
      <c r="A75" s="1" t="s">
        <v>220</v>
      </c>
      <c r="B75" s="1" t="s">
        <v>14</v>
      </c>
      <c r="C75" s="1" t="s">
        <v>46</v>
      </c>
      <c r="D75" s="1" t="s">
        <v>221</v>
      </c>
      <c r="E75" s="1">
        <v>0</v>
      </c>
      <c r="F75" s="1">
        <v>0</v>
      </c>
      <c r="G75" s="1" t="s">
        <v>17</v>
      </c>
      <c r="H75" s="1"/>
      <c r="I75" s="1" t="s">
        <v>18</v>
      </c>
      <c r="J75" s="1" t="s">
        <v>19</v>
      </c>
      <c r="K75" s="1" t="s">
        <v>221</v>
      </c>
      <c r="L75" s="1">
        <v>166</v>
      </c>
      <c r="M75" s="1" t="s">
        <v>222</v>
      </c>
    </row>
    <row r="76" spans="1:13" x14ac:dyDescent="0.3">
      <c r="A76" s="1" t="s">
        <v>223</v>
      </c>
      <c r="B76" s="1" t="s">
        <v>22</v>
      </c>
      <c r="C76" s="1" t="s">
        <v>121</v>
      </c>
      <c r="D76" s="1" t="s">
        <v>224</v>
      </c>
      <c r="E76" s="1"/>
      <c r="F76" s="1">
        <v>56</v>
      </c>
      <c r="G76" s="1" t="s">
        <v>17</v>
      </c>
      <c r="H76" s="1"/>
      <c r="I76" s="1" t="s">
        <v>55</v>
      </c>
      <c r="J76" s="1" t="s">
        <v>19</v>
      </c>
      <c r="K76" s="1" t="s">
        <v>199</v>
      </c>
      <c r="L76" s="1">
        <v>272</v>
      </c>
      <c r="M76" s="1" t="s">
        <v>37</v>
      </c>
    </row>
    <row r="77" spans="1:13" x14ac:dyDescent="0.3">
      <c r="A77" s="1" t="s">
        <v>225</v>
      </c>
      <c r="B77" s="1" t="s">
        <v>14</v>
      </c>
      <c r="C77" s="1" t="s">
        <v>226</v>
      </c>
      <c r="D77" s="1" t="s">
        <v>227</v>
      </c>
      <c r="E77" s="1">
        <v>0</v>
      </c>
      <c r="F77" s="1">
        <v>10</v>
      </c>
      <c r="G77" s="1" t="s">
        <v>17</v>
      </c>
      <c r="H77" s="1" t="s">
        <v>99</v>
      </c>
      <c r="I77" s="1" t="s">
        <v>105</v>
      </c>
      <c r="J77" s="1" t="s">
        <v>19</v>
      </c>
      <c r="K77" s="1" t="s">
        <v>62</v>
      </c>
      <c r="L77" s="1">
        <v>140</v>
      </c>
      <c r="M77" s="1" t="s">
        <v>103</v>
      </c>
    </row>
    <row r="78" spans="1:13" x14ac:dyDescent="0.3">
      <c r="A78" s="1" t="s">
        <v>228</v>
      </c>
      <c r="B78" s="1" t="s">
        <v>22</v>
      </c>
      <c r="C78" s="1" t="s">
        <v>229</v>
      </c>
      <c r="D78" s="1" t="s">
        <v>76</v>
      </c>
      <c r="E78" s="1">
        <v>350</v>
      </c>
      <c r="F78" s="1">
        <v>31</v>
      </c>
      <c r="G78" s="1" t="s">
        <v>34</v>
      </c>
      <c r="H78" s="1" t="s">
        <v>35</v>
      </c>
      <c r="I78" s="1" t="s">
        <v>26</v>
      </c>
      <c r="J78" s="1" t="s">
        <v>19</v>
      </c>
      <c r="K78" s="1" t="s">
        <v>170</v>
      </c>
      <c r="L78" s="1">
        <v>256</v>
      </c>
      <c r="M78" s="1" t="s">
        <v>42</v>
      </c>
    </row>
    <row r="79" spans="1:13" x14ac:dyDescent="0.3">
      <c r="A79" s="1" t="s">
        <v>230</v>
      </c>
      <c r="B79" s="1" t="s">
        <v>14</v>
      </c>
      <c r="C79" s="1" t="s">
        <v>61</v>
      </c>
      <c r="D79" s="1" t="s">
        <v>62</v>
      </c>
      <c r="E79" s="1">
        <v>0</v>
      </c>
      <c r="F79" s="1">
        <v>0</v>
      </c>
      <c r="G79" s="1" t="s">
        <v>17</v>
      </c>
      <c r="H79" s="1"/>
      <c r="I79" s="1" t="s">
        <v>63</v>
      </c>
      <c r="J79" s="1" t="s">
        <v>19</v>
      </c>
      <c r="K79" s="1" t="s">
        <v>62</v>
      </c>
      <c r="L79" s="1">
        <v>0</v>
      </c>
      <c r="M79" s="1" t="s">
        <v>63</v>
      </c>
    </row>
    <row r="80" spans="1:13" x14ac:dyDescent="0.3">
      <c r="A80" s="1" t="s">
        <v>231</v>
      </c>
      <c r="B80" s="1" t="s">
        <v>22</v>
      </c>
      <c r="C80" s="1" t="s">
        <v>135</v>
      </c>
      <c r="D80" s="1" t="s">
        <v>136</v>
      </c>
      <c r="E80" s="1"/>
      <c r="F80" s="1">
        <v>36</v>
      </c>
      <c r="G80" s="1" t="s">
        <v>17</v>
      </c>
      <c r="H80" s="1" t="s">
        <v>35</v>
      </c>
      <c r="I80" s="1" t="s">
        <v>137</v>
      </c>
      <c r="J80" s="1" t="s">
        <v>19</v>
      </c>
      <c r="K80" s="1" t="s">
        <v>136</v>
      </c>
      <c r="L80" s="1">
        <v>295</v>
      </c>
      <c r="M80" s="1" t="s">
        <v>126</v>
      </c>
    </row>
    <row r="81" spans="1:13" x14ac:dyDescent="0.3">
      <c r="A81" s="1" t="s">
        <v>232</v>
      </c>
      <c r="B81" s="1" t="s">
        <v>14</v>
      </c>
      <c r="C81" s="1" t="s">
        <v>32</v>
      </c>
      <c r="D81" s="1" t="s">
        <v>167</v>
      </c>
      <c r="E81" s="1">
        <v>0</v>
      </c>
      <c r="F81" s="1">
        <v>16</v>
      </c>
      <c r="G81" s="1" t="s">
        <v>34</v>
      </c>
      <c r="H81" s="1"/>
      <c r="I81" s="1" t="s">
        <v>36</v>
      </c>
      <c r="J81" s="1" t="s">
        <v>19</v>
      </c>
      <c r="K81" s="1" t="s">
        <v>167</v>
      </c>
      <c r="L81" s="1">
        <v>166</v>
      </c>
      <c r="M81" s="1" t="s">
        <v>37</v>
      </c>
    </row>
    <row r="82" spans="1:13" x14ac:dyDescent="0.3">
      <c r="A82" s="1" t="s">
        <v>233</v>
      </c>
      <c r="B82" s="1" t="s">
        <v>14</v>
      </c>
      <c r="C82" s="1" t="s">
        <v>61</v>
      </c>
      <c r="D82" s="1" t="s">
        <v>62</v>
      </c>
      <c r="E82" s="1">
        <v>0</v>
      </c>
      <c r="F82" s="1">
        <v>18</v>
      </c>
      <c r="G82" s="1" t="s">
        <v>17</v>
      </c>
      <c r="H82" s="1"/>
      <c r="I82" s="1" t="s">
        <v>63</v>
      </c>
      <c r="J82" s="1" t="s">
        <v>19</v>
      </c>
      <c r="K82" s="1" t="s">
        <v>62</v>
      </c>
      <c r="L82" s="1">
        <v>178</v>
      </c>
      <c r="M82" s="1" t="s">
        <v>63</v>
      </c>
    </row>
    <row r="83" spans="1:13" x14ac:dyDescent="0.3">
      <c r="A83" s="1" t="s">
        <v>234</v>
      </c>
      <c r="B83" s="1" t="s">
        <v>22</v>
      </c>
      <c r="C83" s="1" t="s">
        <v>124</v>
      </c>
      <c r="D83" s="1" t="s">
        <v>200</v>
      </c>
      <c r="E83" s="1">
        <v>1000</v>
      </c>
      <c r="F83" s="1">
        <v>28</v>
      </c>
      <c r="G83" s="1" t="s">
        <v>34</v>
      </c>
      <c r="H83" s="1"/>
      <c r="I83" s="1" t="s">
        <v>26</v>
      </c>
      <c r="J83" s="1" t="s">
        <v>71</v>
      </c>
      <c r="K83" s="1" t="s">
        <v>200</v>
      </c>
      <c r="L83" s="1">
        <v>830</v>
      </c>
      <c r="M83" s="1" t="s">
        <v>189</v>
      </c>
    </row>
    <row r="84" spans="1:13" x14ac:dyDescent="0.3">
      <c r="A84" s="1" t="s">
        <v>235</v>
      </c>
      <c r="B84" s="1" t="s">
        <v>22</v>
      </c>
      <c r="C84" s="1" t="s">
        <v>97</v>
      </c>
      <c r="D84" s="1" t="s">
        <v>76</v>
      </c>
      <c r="E84" s="1">
        <v>3996</v>
      </c>
      <c r="F84" s="1">
        <v>40</v>
      </c>
      <c r="G84" s="1" t="s">
        <v>34</v>
      </c>
      <c r="H84" s="1" t="s">
        <v>236</v>
      </c>
      <c r="I84" s="1" t="s">
        <v>26</v>
      </c>
      <c r="J84" s="1" t="s">
        <v>19</v>
      </c>
      <c r="K84" s="1" t="s">
        <v>125</v>
      </c>
      <c r="L84" s="1">
        <v>344</v>
      </c>
      <c r="M84" s="1" t="s">
        <v>101</v>
      </c>
    </row>
    <row r="85" spans="1:13" x14ac:dyDescent="0.3">
      <c r="A85" s="1" t="s">
        <v>237</v>
      </c>
      <c r="B85" s="1" t="s">
        <v>14</v>
      </c>
      <c r="C85" s="1" t="s">
        <v>32</v>
      </c>
      <c r="D85" s="1" t="s">
        <v>76</v>
      </c>
      <c r="E85" s="1">
        <v>4300</v>
      </c>
      <c r="F85" s="1">
        <v>68</v>
      </c>
      <c r="G85" s="1" t="s">
        <v>34</v>
      </c>
      <c r="H85" s="1" t="s">
        <v>50</v>
      </c>
      <c r="I85" s="1" t="s">
        <v>26</v>
      </c>
      <c r="J85" s="1" t="s">
        <v>71</v>
      </c>
      <c r="K85" s="1" t="s">
        <v>125</v>
      </c>
      <c r="L85" s="1">
        <v>880</v>
      </c>
      <c r="M85" s="1" t="s">
        <v>238</v>
      </c>
    </row>
    <row r="86" spans="1:13" x14ac:dyDescent="0.3">
      <c r="A86" s="1" t="s">
        <v>239</v>
      </c>
      <c r="B86" s="1" t="s">
        <v>14</v>
      </c>
      <c r="C86" s="1" t="s">
        <v>44</v>
      </c>
      <c r="D86" s="1" t="s">
        <v>45</v>
      </c>
      <c r="E86" s="1">
        <v>0</v>
      </c>
      <c r="F86" s="1">
        <v>55</v>
      </c>
      <c r="G86" s="1" t="s">
        <v>17</v>
      </c>
      <c r="H86" s="1"/>
      <c r="I86" s="1" t="s">
        <v>18</v>
      </c>
      <c r="J86" s="1" t="s">
        <v>19</v>
      </c>
      <c r="K86" s="1" t="s">
        <v>45</v>
      </c>
      <c r="L86" s="1">
        <v>212</v>
      </c>
      <c r="M86" s="1" t="s">
        <v>46</v>
      </c>
    </row>
    <row r="87" spans="1:13" x14ac:dyDescent="0.3">
      <c r="A87" s="1" t="s">
        <v>240</v>
      </c>
      <c r="B87" s="1" t="s">
        <v>22</v>
      </c>
      <c r="C87" s="1" t="s">
        <v>128</v>
      </c>
      <c r="D87" s="1" t="s">
        <v>241</v>
      </c>
      <c r="E87" s="1">
        <v>383</v>
      </c>
      <c r="F87" s="1">
        <v>90</v>
      </c>
      <c r="G87" s="1" t="s">
        <v>34</v>
      </c>
      <c r="H87" s="1"/>
      <c r="I87" s="1" t="s">
        <v>58</v>
      </c>
      <c r="J87" s="1" t="s">
        <v>19</v>
      </c>
      <c r="K87" s="1" t="s">
        <v>241</v>
      </c>
      <c r="L87" s="1">
        <v>277</v>
      </c>
      <c r="M87" s="1" t="s">
        <v>119</v>
      </c>
    </row>
    <row r="88" spans="1:13" x14ac:dyDescent="0.3">
      <c r="A88" s="1" t="s">
        <v>242</v>
      </c>
      <c r="B88" s="1" t="s">
        <v>22</v>
      </c>
      <c r="C88" s="1" t="s">
        <v>187</v>
      </c>
      <c r="D88" s="1" t="s">
        <v>243</v>
      </c>
      <c r="E88" s="1"/>
      <c r="F88" s="1"/>
      <c r="G88" s="1" t="s">
        <v>17</v>
      </c>
      <c r="H88" s="1" t="s">
        <v>35</v>
      </c>
      <c r="I88" s="1" t="s">
        <v>189</v>
      </c>
      <c r="J88" s="1" t="s">
        <v>19</v>
      </c>
      <c r="K88" s="1" t="s">
        <v>243</v>
      </c>
      <c r="L88" s="1">
        <v>511</v>
      </c>
      <c r="M88" s="1" t="s">
        <v>189</v>
      </c>
    </row>
    <row r="89" spans="1:13" x14ac:dyDescent="0.3">
      <c r="A89" s="1" t="s">
        <v>244</v>
      </c>
      <c r="B89" s="1" t="s">
        <v>14</v>
      </c>
      <c r="C89" s="1" t="s">
        <v>245</v>
      </c>
      <c r="D89" s="1" t="s">
        <v>246</v>
      </c>
      <c r="E89" s="1">
        <v>0</v>
      </c>
      <c r="F89" s="1">
        <v>0</v>
      </c>
      <c r="G89" s="1" t="s">
        <v>17</v>
      </c>
      <c r="H89" s="1"/>
      <c r="I89" s="1" t="s">
        <v>18</v>
      </c>
      <c r="J89" s="1" t="s">
        <v>19</v>
      </c>
      <c r="K89" s="1" t="s">
        <v>246</v>
      </c>
      <c r="L89" s="1">
        <v>0</v>
      </c>
      <c r="M89" s="1" t="s">
        <v>245</v>
      </c>
    </row>
    <row r="90" spans="1:13" x14ac:dyDescent="0.3">
      <c r="A90" s="1" t="s">
        <v>247</v>
      </c>
      <c r="B90" s="1" t="s">
        <v>22</v>
      </c>
      <c r="C90" s="1" t="s">
        <v>128</v>
      </c>
      <c r="D90" s="1" t="s">
        <v>248</v>
      </c>
      <c r="E90" s="1">
        <v>100</v>
      </c>
      <c r="F90" s="1">
        <v>17</v>
      </c>
      <c r="G90" s="1" t="s">
        <v>34</v>
      </c>
      <c r="H90" s="1"/>
      <c r="I90" s="1" t="s">
        <v>26</v>
      </c>
      <c r="J90" s="1" t="s">
        <v>19</v>
      </c>
      <c r="K90" s="1" t="s">
        <v>248</v>
      </c>
      <c r="L90" s="1">
        <v>90</v>
      </c>
      <c r="M90" s="1" t="s">
        <v>249</v>
      </c>
    </row>
    <row r="91" spans="1:13" x14ac:dyDescent="0.3">
      <c r="A91" s="1" t="s">
        <v>250</v>
      </c>
      <c r="B91" s="1" t="s">
        <v>22</v>
      </c>
      <c r="C91" s="1" t="s">
        <v>124</v>
      </c>
      <c r="D91" s="1" t="s">
        <v>200</v>
      </c>
      <c r="E91" s="1">
        <v>1320</v>
      </c>
      <c r="F91" s="1">
        <v>56</v>
      </c>
      <c r="G91" s="1" t="s">
        <v>34</v>
      </c>
      <c r="H91" s="1"/>
      <c r="I91" s="1" t="s">
        <v>26</v>
      </c>
      <c r="J91" s="1" t="s">
        <v>71</v>
      </c>
      <c r="K91" s="1" t="s">
        <v>200</v>
      </c>
      <c r="L91" s="1">
        <v>612</v>
      </c>
      <c r="M91" s="1" t="s">
        <v>137</v>
      </c>
    </row>
    <row r="92" spans="1:13" x14ac:dyDescent="0.3">
      <c r="A92" s="1" t="s">
        <v>251</v>
      </c>
      <c r="B92" s="1" t="s">
        <v>14</v>
      </c>
      <c r="C92" s="1" t="s">
        <v>110</v>
      </c>
      <c r="D92" s="1" t="s">
        <v>252</v>
      </c>
      <c r="E92" s="1">
        <v>0</v>
      </c>
      <c r="F92" s="1">
        <v>8</v>
      </c>
      <c r="G92" s="1" t="s">
        <v>17</v>
      </c>
      <c r="H92" s="1"/>
      <c r="I92" s="1" t="s">
        <v>110</v>
      </c>
      <c r="J92" s="1" t="s">
        <v>19</v>
      </c>
      <c r="K92" s="1" t="s">
        <v>20</v>
      </c>
      <c r="L92" s="1">
        <v>115</v>
      </c>
      <c r="M92" s="1" t="s">
        <v>110</v>
      </c>
    </row>
    <row r="93" spans="1:13" x14ac:dyDescent="0.3">
      <c r="A93" s="1" t="s">
        <v>253</v>
      </c>
      <c r="B93" s="1" t="s">
        <v>14</v>
      </c>
      <c r="C93" s="1" t="s">
        <v>254</v>
      </c>
      <c r="D93" s="1" t="s">
        <v>255</v>
      </c>
      <c r="E93" s="1">
        <v>0</v>
      </c>
      <c r="F93" s="1">
        <v>30</v>
      </c>
      <c r="G93" s="1" t="s">
        <v>17</v>
      </c>
      <c r="H93" s="1"/>
      <c r="I93" s="1" t="s">
        <v>18</v>
      </c>
      <c r="J93" s="1" t="s">
        <v>151</v>
      </c>
      <c r="K93" s="1" t="s">
        <v>256</v>
      </c>
      <c r="L93" s="1">
        <v>186</v>
      </c>
      <c r="M93" s="1" t="s">
        <v>257</v>
      </c>
    </row>
    <row r="94" spans="1:13" x14ac:dyDescent="0.3">
      <c r="A94" s="1" t="s">
        <v>258</v>
      </c>
      <c r="B94" s="1" t="s">
        <v>22</v>
      </c>
      <c r="C94" s="1" t="s">
        <v>32</v>
      </c>
      <c r="D94" s="1" t="s">
        <v>167</v>
      </c>
      <c r="E94" s="1">
        <v>300</v>
      </c>
      <c r="F94" s="1">
        <v>40</v>
      </c>
      <c r="G94" s="1" t="s">
        <v>34</v>
      </c>
      <c r="H94" s="1"/>
      <c r="I94" s="1" t="s">
        <v>36</v>
      </c>
      <c r="J94" s="1" t="s">
        <v>19</v>
      </c>
      <c r="K94" s="1" t="s">
        <v>167</v>
      </c>
      <c r="L94" s="1">
        <v>492</v>
      </c>
      <c r="M94" s="1" t="s">
        <v>37</v>
      </c>
    </row>
    <row r="95" spans="1:13" x14ac:dyDescent="0.3">
      <c r="A95" s="1" t="s">
        <v>259</v>
      </c>
      <c r="B95" s="1" t="s">
        <v>14</v>
      </c>
      <c r="C95" s="1" t="s">
        <v>260</v>
      </c>
      <c r="D95" s="1" t="s">
        <v>261</v>
      </c>
      <c r="E95" s="1">
        <v>0</v>
      </c>
      <c r="F95" s="1">
        <v>11</v>
      </c>
      <c r="G95" s="1" t="s">
        <v>17</v>
      </c>
      <c r="H95" s="1"/>
      <c r="I95" s="1" t="s">
        <v>18</v>
      </c>
      <c r="J95" s="1" t="s">
        <v>151</v>
      </c>
      <c r="K95" s="1" t="s">
        <v>261</v>
      </c>
      <c r="L95" s="1">
        <v>152</v>
      </c>
      <c r="M95" s="1" t="s">
        <v>262</v>
      </c>
    </row>
    <row r="96" spans="1:13" x14ac:dyDescent="0.3">
      <c r="A96" s="1" t="s">
        <v>263</v>
      </c>
      <c r="B96" s="1" t="s">
        <v>22</v>
      </c>
      <c r="C96" s="1" t="s">
        <v>264</v>
      </c>
      <c r="D96" s="1" t="s">
        <v>76</v>
      </c>
      <c r="E96" s="1">
        <v>4000</v>
      </c>
      <c r="F96" s="1">
        <v>39</v>
      </c>
      <c r="G96" s="1" t="s">
        <v>17</v>
      </c>
      <c r="H96" s="1" t="s">
        <v>50</v>
      </c>
      <c r="I96" s="1" t="s">
        <v>58</v>
      </c>
      <c r="J96" s="1" t="s">
        <v>19</v>
      </c>
      <c r="K96" s="1" t="s">
        <v>125</v>
      </c>
      <c r="L96" s="1">
        <v>199</v>
      </c>
      <c r="M96" s="1" t="s">
        <v>46</v>
      </c>
    </row>
    <row r="97" spans="1:13" x14ac:dyDescent="0.3">
      <c r="A97" s="1" t="s">
        <v>265</v>
      </c>
      <c r="B97" s="1" t="s">
        <v>22</v>
      </c>
      <c r="C97" s="1" t="s">
        <v>266</v>
      </c>
      <c r="D97" s="1" t="s">
        <v>90</v>
      </c>
      <c r="E97" s="1">
        <v>0</v>
      </c>
      <c r="F97" s="1">
        <v>25</v>
      </c>
      <c r="G97" s="1" t="s">
        <v>34</v>
      </c>
      <c r="H97" s="1" t="s">
        <v>35</v>
      </c>
      <c r="I97" s="1" t="s">
        <v>18</v>
      </c>
      <c r="J97" s="1" t="s">
        <v>19</v>
      </c>
      <c r="K97" s="1" t="s">
        <v>89</v>
      </c>
      <c r="L97" s="1">
        <v>212</v>
      </c>
      <c r="M97" s="1" t="s">
        <v>110</v>
      </c>
    </row>
    <row r="98" spans="1:13" x14ac:dyDescent="0.3">
      <c r="A98" s="1" t="s">
        <v>267</v>
      </c>
      <c r="B98" s="1" t="s">
        <v>14</v>
      </c>
      <c r="C98" s="1" t="s">
        <v>133</v>
      </c>
      <c r="D98" s="1" t="s">
        <v>268</v>
      </c>
      <c r="E98" s="1">
        <v>0</v>
      </c>
      <c r="F98" s="1">
        <v>0</v>
      </c>
      <c r="G98" s="1" t="s">
        <v>34</v>
      </c>
      <c r="H98" s="1" t="s">
        <v>99</v>
      </c>
      <c r="I98" s="1" t="s">
        <v>133</v>
      </c>
      <c r="J98" s="1" t="s">
        <v>19</v>
      </c>
      <c r="K98" s="1" t="s">
        <v>268</v>
      </c>
      <c r="L98" s="1">
        <v>0</v>
      </c>
      <c r="M98" s="1" t="s">
        <v>133</v>
      </c>
    </row>
    <row r="99" spans="1:13" x14ac:dyDescent="0.3">
      <c r="A99" s="1" t="s">
        <v>269</v>
      </c>
      <c r="B99" s="1" t="s">
        <v>14</v>
      </c>
      <c r="C99" s="1" t="s">
        <v>110</v>
      </c>
      <c r="D99" s="1" t="s">
        <v>154</v>
      </c>
      <c r="E99" s="1">
        <v>0</v>
      </c>
      <c r="F99" s="1">
        <v>0</v>
      </c>
      <c r="G99" s="1" t="s">
        <v>17</v>
      </c>
      <c r="H99" s="1"/>
      <c r="I99" s="1" t="s">
        <v>110</v>
      </c>
      <c r="J99" s="1" t="s">
        <v>19</v>
      </c>
      <c r="K99" s="1" t="s">
        <v>154</v>
      </c>
      <c r="L99" s="1">
        <v>0</v>
      </c>
      <c r="M99" s="1" t="s">
        <v>110</v>
      </c>
    </row>
    <row r="100" spans="1:13" x14ac:dyDescent="0.3">
      <c r="A100" s="1" t="s">
        <v>270</v>
      </c>
      <c r="B100" s="1" t="s">
        <v>22</v>
      </c>
      <c r="C100" s="1" t="s">
        <v>128</v>
      </c>
      <c r="D100" s="1" t="s">
        <v>76</v>
      </c>
      <c r="E100" s="1">
        <v>3000</v>
      </c>
      <c r="F100" s="1">
        <v>19</v>
      </c>
      <c r="G100" s="1" t="s">
        <v>34</v>
      </c>
      <c r="H100" s="1" t="s">
        <v>50</v>
      </c>
      <c r="I100" s="1" t="s">
        <v>18</v>
      </c>
      <c r="J100" s="1" t="s">
        <v>19</v>
      </c>
      <c r="K100" s="1" t="s">
        <v>125</v>
      </c>
      <c r="L100" s="1">
        <v>174</v>
      </c>
      <c r="M100" s="1" t="s">
        <v>222</v>
      </c>
    </row>
    <row r="101" spans="1:13" x14ac:dyDescent="0.3">
      <c r="A101" s="1" t="s">
        <v>271</v>
      </c>
      <c r="B101" s="1" t="s">
        <v>14</v>
      </c>
      <c r="C101" s="1" t="s">
        <v>139</v>
      </c>
      <c r="D101" s="1" t="s">
        <v>140</v>
      </c>
      <c r="E101" s="1">
        <v>0</v>
      </c>
      <c r="F101" s="1">
        <v>24</v>
      </c>
      <c r="G101" s="1" t="s">
        <v>17</v>
      </c>
      <c r="H101" s="1"/>
      <c r="I101" s="1" t="s">
        <v>26</v>
      </c>
      <c r="J101" s="1" t="s">
        <v>151</v>
      </c>
      <c r="K101" s="1" t="s">
        <v>140</v>
      </c>
      <c r="L101" s="1">
        <v>0</v>
      </c>
      <c r="M101" s="1" t="s">
        <v>141</v>
      </c>
    </row>
    <row r="102" spans="1:13" x14ac:dyDescent="0.3">
      <c r="A102" s="1" t="s">
        <v>272</v>
      </c>
      <c r="B102" s="1" t="s">
        <v>14</v>
      </c>
      <c r="C102" s="1" t="s">
        <v>61</v>
      </c>
      <c r="D102" s="1" t="s">
        <v>273</v>
      </c>
      <c r="E102" s="1">
        <v>0</v>
      </c>
      <c r="F102" s="1">
        <v>88</v>
      </c>
      <c r="G102" s="1" t="s">
        <v>17</v>
      </c>
      <c r="H102" s="1"/>
      <c r="I102" s="1" t="s">
        <v>63</v>
      </c>
      <c r="J102" s="1" t="s">
        <v>19</v>
      </c>
      <c r="K102" s="1" t="s">
        <v>273</v>
      </c>
      <c r="L102" s="1">
        <v>165</v>
      </c>
      <c r="M102" s="1" t="s">
        <v>63</v>
      </c>
    </row>
    <row r="103" spans="1:13" x14ac:dyDescent="0.3">
      <c r="A103" s="1" t="s">
        <v>274</v>
      </c>
      <c r="B103" s="1" t="s">
        <v>22</v>
      </c>
      <c r="C103" s="1" t="s">
        <v>92</v>
      </c>
      <c r="D103" s="1" t="s">
        <v>83</v>
      </c>
      <c r="E103" s="1">
        <v>75</v>
      </c>
      <c r="F103" s="1">
        <v>31</v>
      </c>
      <c r="G103" s="1" t="s">
        <v>34</v>
      </c>
      <c r="H103" s="1"/>
      <c r="I103" s="1" t="s">
        <v>58</v>
      </c>
      <c r="J103" s="1" t="s">
        <v>19</v>
      </c>
      <c r="K103" s="1" t="s">
        <v>83</v>
      </c>
      <c r="L103" s="1">
        <v>212</v>
      </c>
      <c r="M103" s="1" t="s">
        <v>59</v>
      </c>
    </row>
    <row r="104" spans="1:13" x14ac:dyDescent="0.3">
      <c r="A104" s="1" t="s">
        <v>275</v>
      </c>
      <c r="B104" s="1" t="s">
        <v>14</v>
      </c>
      <c r="C104" s="1" t="s">
        <v>175</v>
      </c>
      <c r="D104" s="1" t="s">
        <v>90</v>
      </c>
      <c r="E104" s="1">
        <v>0</v>
      </c>
      <c r="F104" s="1">
        <v>27</v>
      </c>
      <c r="G104" s="1" t="s">
        <v>34</v>
      </c>
      <c r="H104" s="1"/>
      <c r="I104" s="1" t="s">
        <v>26</v>
      </c>
      <c r="J104" s="1" t="s">
        <v>19</v>
      </c>
      <c r="K104" s="1" t="s">
        <v>89</v>
      </c>
      <c r="L104" s="1">
        <v>185</v>
      </c>
      <c r="M104" s="1" t="s">
        <v>110</v>
      </c>
    </row>
    <row r="105" spans="1:13" x14ac:dyDescent="0.3">
      <c r="A105" s="1" t="s">
        <v>276</v>
      </c>
      <c r="B105" s="1" t="s">
        <v>22</v>
      </c>
      <c r="C105" s="1" t="s">
        <v>175</v>
      </c>
      <c r="D105" s="1" t="s">
        <v>90</v>
      </c>
      <c r="E105" s="1">
        <v>0</v>
      </c>
      <c r="F105" s="1">
        <v>30</v>
      </c>
      <c r="G105" s="1" t="s">
        <v>34</v>
      </c>
      <c r="H105" s="1" t="s">
        <v>35</v>
      </c>
      <c r="I105" s="1" t="s">
        <v>26</v>
      </c>
      <c r="J105" s="1" t="s">
        <v>19</v>
      </c>
      <c r="K105" s="1" t="s">
        <v>175</v>
      </c>
      <c r="L105" s="1">
        <v>258</v>
      </c>
      <c r="M105" s="1" t="s">
        <v>110</v>
      </c>
    </row>
    <row r="106" spans="1:13" x14ac:dyDescent="0.3">
      <c r="A106" s="1" t="s">
        <v>277</v>
      </c>
      <c r="B106" s="1" t="s">
        <v>22</v>
      </c>
      <c r="C106" s="1" t="s">
        <v>278</v>
      </c>
      <c r="D106" s="1" t="s">
        <v>76</v>
      </c>
      <c r="E106" s="1">
        <v>100</v>
      </c>
      <c r="F106" s="1">
        <v>81</v>
      </c>
      <c r="G106" s="1" t="s">
        <v>17</v>
      </c>
      <c r="H106" s="1"/>
      <c r="I106" s="1" t="s">
        <v>26</v>
      </c>
      <c r="J106" s="1" t="s">
        <v>19</v>
      </c>
      <c r="K106" s="1" t="s">
        <v>76</v>
      </c>
      <c r="L106" s="1">
        <v>2200</v>
      </c>
      <c r="M106" s="1" t="s">
        <v>84</v>
      </c>
    </row>
    <row r="107" spans="1:13" x14ac:dyDescent="0.3">
      <c r="A107" s="1" t="s">
        <v>279</v>
      </c>
      <c r="B107" s="1" t="s">
        <v>14</v>
      </c>
      <c r="C107" s="1" t="s">
        <v>32</v>
      </c>
      <c r="D107" s="1" t="s">
        <v>33</v>
      </c>
      <c r="E107" s="1">
        <v>932</v>
      </c>
      <c r="F107" s="1">
        <v>35</v>
      </c>
      <c r="G107" s="1" t="s">
        <v>34</v>
      </c>
      <c r="H107" s="1"/>
      <c r="I107" s="1" t="s">
        <v>36</v>
      </c>
      <c r="J107" s="1" t="s">
        <v>19</v>
      </c>
      <c r="K107" s="1" t="s">
        <v>33</v>
      </c>
      <c r="L107" s="1">
        <v>464</v>
      </c>
      <c r="M107" s="1" t="s">
        <v>37</v>
      </c>
    </row>
    <row r="108" spans="1:13" x14ac:dyDescent="0.3">
      <c r="A108" s="1" t="s">
        <v>280</v>
      </c>
      <c r="B108" s="1" t="s">
        <v>22</v>
      </c>
      <c r="C108" s="1" t="s">
        <v>187</v>
      </c>
      <c r="D108" s="1" t="s">
        <v>243</v>
      </c>
      <c r="E108" s="1"/>
      <c r="F108" s="1"/>
      <c r="G108" s="1" t="s">
        <v>17</v>
      </c>
      <c r="H108" s="1" t="s">
        <v>35</v>
      </c>
      <c r="I108" s="1" t="s">
        <v>189</v>
      </c>
      <c r="J108" s="1" t="s">
        <v>19</v>
      </c>
      <c r="K108" s="1" t="s">
        <v>243</v>
      </c>
      <c r="L108" s="1">
        <v>522</v>
      </c>
      <c r="M108" s="1" t="s">
        <v>189</v>
      </c>
    </row>
    <row r="109" spans="1:13" x14ac:dyDescent="0.3">
      <c r="A109" s="1" t="s">
        <v>281</v>
      </c>
      <c r="B109" s="1" t="s">
        <v>22</v>
      </c>
      <c r="C109" s="1" t="s">
        <v>282</v>
      </c>
      <c r="D109" s="1" t="s">
        <v>76</v>
      </c>
      <c r="E109" s="1">
        <v>200</v>
      </c>
      <c r="F109" s="1">
        <v>24</v>
      </c>
      <c r="G109" s="1" t="s">
        <v>34</v>
      </c>
      <c r="H109" s="1"/>
      <c r="I109" s="1" t="s">
        <v>18</v>
      </c>
      <c r="J109" s="1" t="s">
        <v>19</v>
      </c>
      <c r="K109" s="1" t="s">
        <v>170</v>
      </c>
      <c r="L109" s="1">
        <v>220</v>
      </c>
      <c r="M109" s="1" t="s">
        <v>84</v>
      </c>
    </row>
    <row r="110" spans="1:13" x14ac:dyDescent="0.3">
      <c r="A110" s="1" t="s">
        <v>283</v>
      </c>
      <c r="B110" s="1" t="s">
        <v>14</v>
      </c>
      <c r="C110" s="1" t="s">
        <v>284</v>
      </c>
      <c r="D110" s="1" t="s">
        <v>285</v>
      </c>
      <c r="E110" s="1">
        <v>0</v>
      </c>
      <c r="F110" s="1">
        <v>18</v>
      </c>
      <c r="G110" s="1" t="s">
        <v>17</v>
      </c>
      <c r="H110" s="1"/>
      <c r="I110" s="1" t="s">
        <v>133</v>
      </c>
      <c r="J110" s="1" t="s">
        <v>19</v>
      </c>
      <c r="K110" s="1" t="s">
        <v>285</v>
      </c>
      <c r="L110" s="1">
        <v>197</v>
      </c>
      <c r="M110" s="1" t="s">
        <v>42</v>
      </c>
    </row>
    <row r="111" spans="1:13" x14ac:dyDescent="0.3">
      <c r="A111" s="1" t="s">
        <v>286</v>
      </c>
      <c r="B111" s="1" t="s">
        <v>14</v>
      </c>
      <c r="C111" s="1" t="s">
        <v>61</v>
      </c>
      <c r="D111" s="1" t="s">
        <v>62</v>
      </c>
      <c r="E111" s="1">
        <v>0</v>
      </c>
      <c r="F111" s="1">
        <v>28</v>
      </c>
      <c r="G111" s="1" t="s">
        <v>34</v>
      </c>
      <c r="H111" s="1" t="s">
        <v>218</v>
      </c>
      <c r="I111" s="1" t="s">
        <v>63</v>
      </c>
      <c r="J111" s="1" t="s">
        <v>19</v>
      </c>
      <c r="K111" s="1" t="s">
        <v>62</v>
      </c>
      <c r="L111" s="1">
        <v>432</v>
      </c>
      <c r="M111" s="1" t="s">
        <v>63</v>
      </c>
    </row>
    <row r="112" spans="1:13" x14ac:dyDescent="0.3">
      <c r="A112" s="1" t="s">
        <v>287</v>
      </c>
      <c r="B112" s="1" t="s">
        <v>14</v>
      </c>
      <c r="C112" s="1" t="s">
        <v>92</v>
      </c>
      <c r="D112" s="1" t="s">
        <v>83</v>
      </c>
      <c r="E112" s="1">
        <v>0</v>
      </c>
      <c r="F112" s="1">
        <v>24</v>
      </c>
      <c r="G112" s="1" t="s">
        <v>17</v>
      </c>
      <c r="H112" s="1"/>
      <c r="I112" s="1" t="s">
        <v>58</v>
      </c>
      <c r="J112" s="1" t="s">
        <v>19</v>
      </c>
      <c r="K112" s="1" t="s">
        <v>83</v>
      </c>
      <c r="L112" s="1">
        <v>220</v>
      </c>
      <c r="M112" s="1" t="s">
        <v>288</v>
      </c>
    </row>
    <row r="113" spans="1:13" x14ac:dyDescent="0.3">
      <c r="A113" s="1" t="s">
        <v>289</v>
      </c>
      <c r="B113" s="1" t="s">
        <v>22</v>
      </c>
      <c r="C113" s="1" t="s">
        <v>135</v>
      </c>
      <c r="D113" s="1" t="s">
        <v>136</v>
      </c>
      <c r="E113" s="1"/>
      <c r="F113" s="1"/>
      <c r="G113" s="1" t="s">
        <v>17</v>
      </c>
      <c r="H113" s="1" t="s">
        <v>35</v>
      </c>
      <c r="I113" s="1" t="s">
        <v>137</v>
      </c>
      <c r="J113" s="1" t="s">
        <v>19</v>
      </c>
      <c r="K113" s="1" t="s">
        <v>136</v>
      </c>
      <c r="L113" s="1">
        <v>544</v>
      </c>
      <c r="M113" s="1" t="s">
        <v>137</v>
      </c>
    </row>
    <row r="114" spans="1:13" x14ac:dyDescent="0.3">
      <c r="A114" s="1" t="s">
        <v>290</v>
      </c>
      <c r="B114" s="1" t="s">
        <v>22</v>
      </c>
      <c r="C114" s="1" t="s">
        <v>135</v>
      </c>
      <c r="D114" s="1" t="s">
        <v>136</v>
      </c>
      <c r="E114" s="1"/>
      <c r="F114" s="1"/>
      <c r="G114" s="1" t="s">
        <v>17</v>
      </c>
      <c r="H114" s="1" t="s">
        <v>35</v>
      </c>
      <c r="I114" s="1" t="s">
        <v>137</v>
      </c>
      <c r="J114" s="1" t="s">
        <v>19</v>
      </c>
      <c r="K114" s="1" t="s">
        <v>136</v>
      </c>
      <c r="L114" s="1">
        <v>306</v>
      </c>
      <c r="M114" s="1" t="s">
        <v>137</v>
      </c>
    </row>
    <row r="115" spans="1:13" x14ac:dyDescent="0.3">
      <c r="A115" s="1" t="s">
        <v>291</v>
      </c>
      <c r="B115" s="1" t="s">
        <v>14</v>
      </c>
      <c r="C115" s="1" t="s">
        <v>226</v>
      </c>
      <c r="D115" s="1" t="s">
        <v>227</v>
      </c>
      <c r="E115" s="1">
        <v>0</v>
      </c>
      <c r="F115" s="1">
        <v>10</v>
      </c>
      <c r="G115" s="1" t="s">
        <v>17</v>
      </c>
      <c r="H115" s="1" t="s">
        <v>99</v>
      </c>
      <c r="I115" s="1" t="s">
        <v>105</v>
      </c>
      <c r="J115" s="1" t="s">
        <v>19</v>
      </c>
      <c r="K115" s="1" t="s">
        <v>62</v>
      </c>
      <c r="L115" s="1">
        <v>140</v>
      </c>
      <c r="M115" s="1" t="s">
        <v>103</v>
      </c>
    </row>
    <row r="116" spans="1:13" x14ac:dyDescent="0.3">
      <c r="A116" s="1" t="s">
        <v>292</v>
      </c>
      <c r="B116" s="1" t="s">
        <v>14</v>
      </c>
      <c r="C116" s="1" t="s">
        <v>110</v>
      </c>
      <c r="D116" s="1" t="s">
        <v>293</v>
      </c>
      <c r="E116" s="1">
        <v>0</v>
      </c>
      <c r="F116" s="1">
        <v>72</v>
      </c>
      <c r="G116" s="1" t="s">
        <v>17</v>
      </c>
      <c r="H116" s="1"/>
      <c r="I116" s="1" t="s">
        <v>110</v>
      </c>
      <c r="J116" s="1" t="s">
        <v>19</v>
      </c>
      <c r="K116" s="1" t="s">
        <v>293</v>
      </c>
      <c r="L116" s="1">
        <v>168</v>
      </c>
      <c r="M116" s="1" t="s">
        <v>110</v>
      </c>
    </row>
    <row r="117" spans="1:13" x14ac:dyDescent="0.3">
      <c r="A117" s="1" t="s">
        <v>294</v>
      </c>
      <c r="B117" s="1" t="s">
        <v>22</v>
      </c>
      <c r="C117" s="1" t="s">
        <v>295</v>
      </c>
      <c r="D117" s="1" t="s">
        <v>76</v>
      </c>
      <c r="E117" s="1">
        <v>24</v>
      </c>
      <c r="F117" s="1">
        <v>38</v>
      </c>
      <c r="G117" s="1" t="s">
        <v>34</v>
      </c>
      <c r="H117" s="1"/>
      <c r="I117" s="1" t="s">
        <v>26</v>
      </c>
      <c r="J117" s="1" t="s">
        <v>19</v>
      </c>
      <c r="K117" s="1" t="s">
        <v>76</v>
      </c>
      <c r="L117" s="1">
        <v>180</v>
      </c>
      <c r="M117" s="1" t="s">
        <v>296</v>
      </c>
    </row>
    <row r="118" spans="1:13" x14ac:dyDescent="0.3">
      <c r="A118" s="1" t="s">
        <v>297</v>
      </c>
      <c r="B118" s="1" t="s">
        <v>14</v>
      </c>
      <c r="C118" s="1" t="s">
        <v>84</v>
      </c>
      <c r="D118" s="1" t="s">
        <v>177</v>
      </c>
      <c r="E118" s="1">
        <v>0</v>
      </c>
      <c r="F118" s="1">
        <v>29</v>
      </c>
      <c r="G118" s="1" t="s">
        <v>17</v>
      </c>
      <c r="H118" s="1" t="s">
        <v>99</v>
      </c>
      <c r="I118" s="1" t="s">
        <v>26</v>
      </c>
      <c r="J118" s="1" t="s">
        <v>19</v>
      </c>
      <c r="K118" s="1" t="s">
        <v>177</v>
      </c>
      <c r="L118" s="1">
        <v>178</v>
      </c>
      <c r="M118" s="1" t="s">
        <v>84</v>
      </c>
    </row>
    <row r="119" spans="1:13" x14ac:dyDescent="0.3">
      <c r="A119" s="1" t="s">
        <v>298</v>
      </c>
      <c r="B119" s="1" t="s">
        <v>22</v>
      </c>
      <c r="C119" s="1" t="s">
        <v>103</v>
      </c>
      <c r="D119" s="1" t="s">
        <v>299</v>
      </c>
      <c r="E119" s="1"/>
      <c r="F119" s="1">
        <v>68</v>
      </c>
      <c r="G119" s="1" t="s">
        <v>17</v>
      </c>
      <c r="H119" s="1"/>
      <c r="I119" s="1" t="s">
        <v>105</v>
      </c>
      <c r="J119" s="1" t="s">
        <v>19</v>
      </c>
      <c r="K119" s="1" t="s">
        <v>299</v>
      </c>
      <c r="L119" s="1">
        <v>180</v>
      </c>
      <c r="M119" s="1" t="s">
        <v>103</v>
      </c>
    </row>
    <row r="120" spans="1:13" x14ac:dyDescent="0.3">
      <c r="A120" s="1" t="s">
        <v>300</v>
      </c>
      <c r="B120" s="1" t="s">
        <v>22</v>
      </c>
      <c r="C120" s="1" t="s">
        <v>301</v>
      </c>
      <c r="D120" s="1" t="s">
        <v>76</v>
      </c>
      <c r="E120" s="1">
        <v>16</v>
      </c>
      <c r="F120" s="1">
        <v>35</v>
      </c>
      <c r="G120" s="1" t="s">
        <v>17</v>
      </c>
      <c r="H120" s="1"/>
      <c r="I120" s="1" t="s">
        <v>18</v>
      </c>
      <c r="J120" s="1" t="s">
        <v>145</v>
      </c>
      <c r="K120" s="1" t="s">
        <v>76</v>
      </c>
      <c r="L120" s="1">
        <v>207</v>
      </c>
      <c r="M120" s="1" t="s">
        <v>245</v>
      </c>
    </row>
    <row r="121" spans="1:13" x14ac:dyDescent="0.3">
      <c r="A121" s="1" t="s">
        <v>302</v>
      </c>
      <c r="B121" s="1" t="s">
        <v>22</v>
      </c>
      <c r="C121" s="1" t="s">
        <v>303</v>
      </c>
      <c r="D121" s="1" t="s">
        <v>76</v>
      </c>
      <c r="E121" s="1">
        <v>108</v>
      </c>
      <c r="F121" s="1">
        <v>47</v>
      </c>
      <c r="G121" s="1" t="s">
        <v>34</v>
      </c>
      <c r="H121" s="1"/>
      <c r="I121" s="1" t="s">
        <v>105</v>
      </c>
      <c r="J121" s="1" t="s">
        <v>19</v>
      </c>
      <c r="K121" s="1" t="s">
        <v>170</v>
      </c>
      <c r="L121" s="1">
        <v>388</v>
      </c>
      <c r="M121" s="1" t="s">
        <v>42</v>
      </c>
    </row>
    <row r="122" spans="1:13" x14ac:dyDescent="0.3">
      <c r="A122" s="1" t="s">
        <v>304</v>
      </c>
      <c r="B122" s="1" t="s">
        <v>22</v>
      </c>
      <c r="C122" s="1" t="s">
        <v>266</v>
      </c>
      <c r="D122" s="1" t="s">
        <v>90</v>
      </c>
      <c r="E122" s="1">
        <v>500</v>
      </c>
      <c r="F122" s="1">
        <v>30</v>
      </c>
      <c r="G122" s="1" t="s">
        <v>17</v>
      </c>
      <c r="H122" s="1" t="s">
        <v>35</v>
      </c>
      <c r="I122" s="1" t="s">
        <v>26</v>
      </c>
      <c r="J122" s="1" t="s">
        <v>19</v>
      </c>
      <c r="K122" s="1" t="s">
        <v>89</v>
      </c>
      <c r="L122" s="1">
        <v>212</v>
      </c>
      <c r="M122" s="1" t="s">
        <v>110</v>
      </c>
    </row>
    <row r="123" spans="1:13" x14ac:dyDescent="0.3">
      <c r="A123" s="1" t="s">
        <v>305</v>
      </c>
      <c r="B123" s="1" t="s">
        <v>14</v>
      </c>
      <c r="C123" s="1" t="s">
        <v>94</v>
      </c>
      <c r="D123" s="1" t="s">
        <v>24</v>
      </c>
      <c r="E123" s="1">
        <v>0</v>
      </c>
      <c r="F123" s="1">
        <v>160</v>
      </c>
      <c r="G123" s="1" t="s">
        <v>34</v>
      </c>
      <c r="H123" s="1"/>
      <c r="I123" s="1" t="s">
        <v>58</v>
      </c>
      <c r="J123" s="1" t="s">
        <v>19</v>
      </c>
      <c r="K123" s="1" t="s">
        <v>24</v>
      </c>
      <c r="L123" s="1">
        <v>1253</v>
      </c>
      <c r="M123" s="1" t="s">
        <v>148</v>
      </c>
    </row>
    <row r="124" spans="1:13" x14ac:dyDescent="0.3">
      <c r="A124" s="1" t="s">
        <v>306</v>
      </c>
      <c r="B124" s="1" t="s">
        <v>22</v>
      </c>
      <c r="C124" s="1" t="s">
        <v>307</v>
      </c>
      <c r="D124" s="1" t="s">
        <v>45</v>
      </c>
      <c r="E124" s="1">
        <v>0</v>
      </c>
      <c r="F124" s="1">
        <v>24</v>
      </c>
      <c r="G124" s="1" t="s">
        <v>17</v>
      </c>
      <c r="H124" s="1"/>
      <c r="I124" s="1" t="s">
        <v>55</v>
      </c>
      <c r="J124" s="1" t="s">
        <v>19</v>
      </c>
      <c r="K124" s="1" t="s">
        <v>45</v>
      </c>
      <c r="L124" s="1">
        <v>470</v>
      </c>
      <c r="M124" s="1" t="s">
        <v>42</v>
      </c>
    </row>
    <row r="125" spans="1:13" x14ac:dyDescent="0.3">
      <c r="A125" s="1" t="s">
        <v>308</v>
      </c>
      <c r="B125" s="1" t="s">
        <v>22</v>
      </c>
      <c r="C125" s="1" t="s">
        <v>226</v>
      </c>
      <c r="D125" s="1" t="s">
        <v>62</v>
      </c>
      <c r="E125" s="1"/>
      <c r="F125" s="1">
        <v>24</v>
      </c>
      <c r="G125" s="1" t="s">
        <v>17</v>
      </c>
      <c r="H125" s="1"/>
      <c r="I125" s="1" t="s">
        <v>105</v>
      </c>
      <c r="J125" s="1" t="s">
        <v>19</v>
      </c>
      <c r="K125" s="1" t="s">
        <v>62</v>
      </c>
      <c r="L125" s="1">
        <v>183</v>
      </c>
      <c r="M125" s="1" t="s">
        <v>103</v>
      </c>
    </row>
    <row r="126" spans="1:13" x14ac:dyDescent="0.3">
      <c r="A126" s="1" t="s">
        <v>309</v>
      </c>
      <c r="B126" s="1" t="s">
        <v>14</v>
      </c>
      <c r="C126" s="1" t="s">
        <v>92</v>
      </c>
      <c r="D126" s="1" t="s">
        <v>83</v>
      </c>
      <c r="E126" s="1">
        <v>35</v>
      </c>
      <c r="F126" s="1">
        <v>28</v>
      </c>
      <c r="G126" s="1" t="s">
        <v>34</v>
      </c>
      <c r="H126" s="1"/>
      <c r="I126" s="1" t="s">
        <v>58</v>
      </c>
      <c r="J126" s="1" t="s">
        <v>71</v>
      </c>
      <c r="K126" s="1" t="s">
        <v>83</v>
      </c>
      <c r="L126" s="1">
        <v>187</v>
      </c>
      <c r="M126" s="1" t="s">
        <v>59</v>
      </c>
    </row>
    <row r="127" spans="1:13" x14ac:dyDescent="0.3">
      <c r="A127" s="1" t="s">
        <v>310</v>
      </c>
      <c r="B127" s="1" t="s">
        <v>14</v>
      </c>
      <c r="C127" s="1" t="s">
        <v>79</v>
      </c>
      <c r="D127" s="1" t="s">
        <v>80</v>
      </c>
      <c r="E127" s="1">
        <v>0</v>
      </c>
      <c r="F127" s="1">
        <v>0</v>
      </c>
      <c r="G127" s="1" t="s">
        <v>17</v>
      </c>
      <c r="H127" s="1"/>
      <c r="I127" s="1" t="s">
        <v>26</v>
      </c>
      <c r="J127" s="1" t="s">
        <v>19</v>
      </c>
      <c r="K127" s="1" t="s">
        <v>80</v>
      </c>
      <c r="L127" s="1">
        <v>178</v>
      </c>
      <c r="M127" s="1" t="s">
        <v>79</v>
      </c>
    </row>
    <row r="128" spans="1:13" x14ac:dyDescent="0.3">
      <c r="A128" s="1" t="s">
        <v>311</v>
      </c>
      <c r="B128" s="1" t="s">
        <v>22</v>
      </c>
      <c r="C128" s="1" t="s">
        <v>312</v>
      </c>
      <c r="D128" s="1" t="s">
        <v>313</v>
      </c>
      <c r="E128" s="1"/>
      <c r="F128" s="1">
        <v>26</v>
      </c>
      <c r="G128" s="1" t="s">
        <v>34</v>
      </c>
      <c r="H128" s="1"/>
      <c r="I128" s="1" t="s">
        <v>55</v>
      </c>
      <c r="J128" s="1" t="s">
        <v>151</v>
      </c>
      <c r="K128" s="1" t="s">
        <v>83</v>
      </c>
      <c r="L128" s="1">
        <v>293</v>
      </c>
      <c r="M128" s="1" t="s">
        <v>314</v>
      </c>
    </row>
    <row r="129" spans="1:13" x14ac:dyDescent="0.3">
      <c r="A129" s="1" t="s">
        <v>315</v>
      </c>
      <c r="B129" s="1" t="s">
        <v>22</v>
      </c>
      <c r="C129" s="1" t="s">
        <v>32</v>
      </c>
      <c r="D129" s="1" t="s">
        <v>33</v>
      </c>
      <c r="E129" s="1">
        <v>1057</v>
      </c>
      <c r="F129" s="1">
        <v>48</v>
      </c>
      <c r="G129" s="1" t="s">
        <v>34</v>
      </c>
      <c r="H129" s="1" t="s">
        <v>50</v>
      </c>
      <c r="I129" s="1" t="s">
        <v>36</v>
      </c>
      <c r="J129" s="1" t="s">
        <v>19</v>
      </c>
      <c r="K129" s="1" t="s">
        <v>33</v>
      </c>
      <c r="L129" s="1">
        <v>509</v>
      </c>
      <c r="M129" s="1" t="s">
        <v>37</v>
      </c>
    </row>
    <row r="130" spans="1:13" x14ac:dyDescent="0.3">
      <c r="A130" s="1" t="s">
        <v>316</v>
      </c>
      <c r="B130" s="1" t="s">
        <v>14</v>
      </c>
      <c r="C130" s="1" t="s">
        <v>317</v>
      </c>
      <c r="D130" s="1" t="s">
        <v>20</v>
      </c>
      <c r="E130" s="1">
        <v>0</v>
      </c>
      <c r="F130" s="1">
        <v>0</v>
      </c>
      <c r="G130" s="1" t="s">
        <v>17</v>
      </c>
      <c r="H130" s="1"/>
      <c r="I130" s="1" t="s">
        <v>63</v>
      </c>
      <c r="J130" s="1" t="s">
        <v>145</v>
      </c>
      <c r="K130" s="1" t="s">
        <v>20</v>
      </c>
      <c r="L130" s="1">
        <v>0</v>
      </c>
      <c r="M130" s="1" t="s">
        <v>318</v>
      </c>
    </row>
    <row r="131" spans="1:13" x14ac:dyDescent="0.3">
      <c r="A131" s="1" t="s">
        <v>319</v>
      </c>
      <c r="B131" s="1" t="s">
        <v>22</v>
      </c>
      <c r="C131" s="1" t="s">
        <v>173</v>
      </c>
      <c r="D131" s="1" t="s">
        <v>320</v>
      </c>
      <c r="E131" s="1">
        <v>542</v>
      </c>
      <c r="F131" s="1">
        <v>78</v>
      </c>
      <c r="G131" s="1" t="s">
        <v>17</v>
      </c>
      <c r="H131" s="1" t="s">
        <v>321</v>
      </c>
      <c r="I131" s="1" t="s">
        <v>58</v>
      </c>
      <c r="J131" s="1" t="s">
        <v>19</v>
      </c>
      <c r="K131" s="1" t="s">
        <v>72</v>
      </c>
      <c r="L131" s="1">
        <v>520</v>
      </c>
      <c r="M131" s="1" t="s">
        <v>84</v>
      </c>
    </row>
    <row r="132" spans="1:13" x14ac:dyDescent="0.3">
      <c r="A132" s="1" t="s">
        <v>322</v>
      </c>
      <c r="B132" s="1" t="s">
        <v>14</v>
      </c>
      <c r="C132" s="1" t="s">
        <v>323</v>
      </c>
      <c r="D132" s="1" t="s">
        <v>324</v>
      </c>
      <c r="E132" s="1">
        <v>0</v>
      </c>
      <c r="F132" s="1">
        <v>0</v>
      </c>
      <c r="G132" s="1" t="s">
        <v>34</v>
      </c>
      <c r="H132" s="1"/>
      <c r="I132" s="1" t="s">
        <v>26</v>
      </c>
      <c r="J132" s="1" t="s">
        <v>19</v>
      </c>
      <c r="K132" s="1" t="s">
        <v>83</v>
      </c>
      <c r="L132" s="1">
        <v>0</v>
      </c>
      <c r="M132" s="1" t="s">
        <v>325</v>
      </c>
    </row>
    <row r="133" spans="1:13" x14ac:dyDescent="0.3">
      <c r="A133" s="1" t="s">
        <v>326</v>
      </c>
      <c r="B133" s="1" t="s">
        <v>22</v>
      </c>
      <c r="C133" s="1" t="s">
        <v>128</v>
      </c>
      <c r="D133" s="1" t="s">
        <v>98</v>
      </c>
      <c r="E133" s="1">
        <v>500</v>
      </c>
      <c r="F133" s="1">
        <v>19</v>
      </c>
      <c r="G133" s="1" t="s">
        <v>17</v>
      </c>
      <c r="H133" s="1" t="s">
        <v>99</v>
      </c>
      <c r="I133" s="1" t="s">
        <v>18</v>
      </c>
      <c r="J133" s="1" t="s">
        <v>19</v>
      </c>
      <c r="K133" s="1" t="s">
        <v>98</v>
      </c>
      <c r="L133" s="1">
        <v>176</v>
      </c>
      <c r="M133" s="1" t="s">
        <v>245</v>
      </c>
    </row>
    <row r="134" spans="1:13" x14ac:dyDescent="0.3">
      <c r="A134" s="1" t="s">
        <v>327</v>
      </c>
      <c r="B134" s="1" t="s">
        <v>14</v>
      </c>
      <c r="C134" s="1" t="s">
        <v>187</v>
      </c>
      <c r="D134" s="1" t="s">
        <v>62</v>
      </c>
      <c r="E134" s="1">
        <v>200</v>
      </c>
      <c r="F134" s="1">
        <v>15</v>
      </c>
      <c r="G134" s="1" t="s">
        <v>17</v>
      </c>
      <c r="H134" s="1" t="s">
        <v>328</v>
      </c>
      <c r="I134" s="1" t="s">
        <v>189</v>
      </c>
      <c r="J134" s="1" t="s">
        <v>19</v>
      </c>
      <c r="K134" s="1" t="s">
        <v>62</v>
      </c>
      <c r="L134" s="1">
        <v>161</v>
      </c>
      <c r="M134" s="1" t="s">
        <v>189</v>
      </c>
    </row>
    <row r="135" spans="1:13" x14ac:dyDescent="0.3">
      <c r="A135" s="1" t="s">
        <v>329</v>
      </c>
      <c r="B135" s="1" t="s">
        <v>22</v>
      </c>
      <c r="C135" s="1" t="s">
        <v>48</v>
      </c>
      <c r="D135" s="1" t="s">
        <v>54</v>
      </c>
      <c r="E135" s="1">
        <v>200</v>
      </c>
      <c r="F135" s="1">
        <v>36</v>
      </c>
      <c r="G135" s="1" t="s">
        <v>34</v>
      </c>
      <c r="H135" s="1" t="s">
        <v>35</v>
      </c>
      <c r="I135" s="1" t="s">
        <v>26</v>
      </c>
      <c r="J135" s="1" t="s">
        <v>19</v>
      </c>
      <c r="K135" s="1" t="s">
        <v>54</v>
      </c>
      <c r="L135" s="1">
        <v>209</v>
      </c>
      <c r="M135" s="1" t="s">
        <v>30</v>
      </c>
    </row>
    <row r="136" spans="1:13" x14ac:dyDescent="0.3">
      <c r="A136" s="1" t="s">
        <v>330</v>
      </c>
      <c r="B136" s="1" t="s">
        <v>14</v>
      </c>
      <c r="C136" s="1" t="s">
        <v>124</v>
      </c>
      <c r="D136" s="1" t="s">
        <v>136</v>
      </c>
      <c r="E136" s="1">
        <v>0</v>
      </c>
      <c r="F136" s="1">
        <v>28</v>
      </c>
      <c r="G136" s="1" t="s">
        <v>34</v>
      </c>
      <c r="H136" s="1" t="s">
        <v>50</v>
      </c>
      <c r="I136" s="1" t="s">
        <v>137</v>
      </c>
      <c r="J136" s="1" t="s">
        <v>19</v>
      </c>
      <c r="K136" s="1" t="s">
        <v>136</v>
      </c>
      <c r="L136" s="1">
        <v>263</v>
      </c>
      <c r="M136" s="1" t="s">
        <v>137</v>
      </c>
    </row>
    <row r="137" spans="1:13" x14ac:dyDescent="0.3">
      <c r="A137" s="1" t="s">
        <v>331</v>
      </c>
      <c r="B137" s="1" t="s">
        <v>14</v>
      </c>
      <c r="C137" s="1" t="s">
        <v>139</v>
      </c>
      <c r="D137" s="1" t="s">
        <v>140</v>
      </c>
      <c r="E137" s="1">
        <v>0</v>
      </c>
      <c r="F137" s="1">
        <v>24</v>
      </c>
      <c r="G137" s="1" t="s">
        <v>17</v>
      </c>
      <c r="H137" s="1"/>
      <c r="I137" s="1" t="s">
        <v>26</v>
      </c>
      <c r="J137" s="1" t="s">
        <v>19</v>
      </c>
      <c r="K137" s="1" t="s">
        <v>140</v>
      </c>
      <c r="L137" s="1">
        <v>0</v>
      </c>
      <c r="M137" s="1" t="s">
        <v>141</v>
      </c>
    </row>
    <row r="138" spans="1:13" x14ac:dyDescent="0.3">
      <c r="A138" s="1" t="s">
        <v>332</v>
      </c>
      <c r="B138" s="1" t="s">
        <v>14</v>
      </c>
      <c r="C138" s="1" t="s">
        <v>61</v>
      </c>
      <c r="D138" s="1" t="s">
        <v>62</v>
      </c>
      <c r="E138" s="1">
        <v>0</v>
      </c>
      <c r="F138" s="1">
        <v>28</v>
      </c>
      <c r="G138" s="1" t="s">
        <v>34</v>
      </c>
      <c r="H138" s="1" t="s">
        <v>218</v>
      </c>
      <c r="I138" s="1" t="s">
        <v>63</v>
      </c>
      <c r="J138" s="1" t="s">
        <v>19</v>
      </c>
      <c r="K138" s="1" t="s">
        <v>62</v>
      </c>
      <c r="L138" s="1">
        <v>432</v>
      </c>
      <c r="M138" s="1" t="s">
        <v>63</v>
      </c>
    </row>
    <row r="139" spans="1:13" x14ac:dyDescent="0.3">
      <c r="A139" s="1" t="s">
        <v>333</v>
      </c>
      <c r="B139" s="1" t="s">
        <v>14</v>
      </c>
      <c r="C139" s="1" t="s">
        <v>334</v>
      </c>
      <c r="D139" s="1" t="s">
        <v>250</v>
      </c>
      <c r="E139" s="1">
        <v>0</v>
      </c>
      <c r="F139" s="1">
        <v>36</v>
      </c>
      <c r="G139" s="1" t="s">
        <v>17</v>
      </c>
      <c r="H139" s="1" t="s">
        <v>99</v>
      </c>
      <c r="I139" s="1" t="s">
        <v>133</v>
      </c>
      <c r="J139" s="1" t="s">
        <v>151</v>
      </c>
      <c r="K139" s="1" t="s">
        <v>250</v>
      </c>
      <c r="L139" s="1">
        <v>224</v>
      </c>
      <c r="M139" s="1" t="s">
        <v>152</v>
      </c>
    </row>
    <row r="140" spans="1:13" x14ac:dyDescent="0.3">
      <c r="A140" s="1" t="s">
        <v>335</v>
      </c>
      <c r="B140" s="1" t="s">
        <v>22</v>
      </c>
      <c r="C140" s="1" t="s">
        <v>82</v>
      </c>
      <c r="D140" s="1" t="s">
        <v>83</v>
      </c>
      <c r="E140" s="1">
        <v>990</v>
      </c>
      <c r="F140" s="1">
        <v>49</v>
      </c>
      <c r="G140" s="1" t="s">
        <v>34</v>
      </c>
      <c r="H140" s="1"/>
      <c r="I140" s="1" t="s">
        <v>55</v>
      </c>
      <c r="J140" s="1" t="s">
        <v>71</v>
      </c>
      <c r="K140" s="1" t="s">
        <v>83</v>
      </c>
      <c r="L140" s="1">
        <v>349</v>
      </c>
      <c r="M140" s="1" t="s">
        <v>84</v>
      </c>
    </row>
    <row r="141" spans="1:13" x14ac:dyDescent="0.3">
      <c r="A141" s="1" t="s">
        <v>336</v>
      </c>
      <c r="B141" s="1" t="s">
        <v>22</v>
      </c>
      <c r="C141" s="1" t="s">
        <v>337</v>
      </c>
      <c r="D141" s="1" t="s">
        <v>45</v>
      </c>
      <c r="E141" s="1"/>
      <c r="F141" s="1">
        <v>43</v>
      </c>
      <c r="G141" s="1" t="s">
        <v>17</v>
      </c>
      <c r="H141" s="1"/>
      <c r="I141" s="1" t="s">
        <v>55</v>
      </c>
      <c r="J141" s="1" t="s">
        <v>19</v>
      </c>
      <c r="K141" s="1" t="s">
        <v>45</v>
      </c>
      <c r="L141" s="1">
        <v>222</v>
      </c>
      <c r="M141" s="1" t="s">
        <v>101</v>
      </c>
    </row>
    <row r="142" spans="1:13" x14ac:dyDescent="0.3">
      <c r="A142" s="1" t="s">
        <v>338</v>
      </c>
      <c r="B142" s="1" t="s">
        <v>22</v>
      </c>
      <c r="C142" s="1" t="s">
        <v>339</v>
      </c>
      <c r="D142" s="1" t="s">
        <v>76</v>
      </c>
      <c r="E142" s="1">
        <v>222</v>
      </c>
      <c r="F142" s="1">
        <v>33</v>
      </c>
      <c r="G142" s="1" t="s">
        <v>34</v>
      </c>
      <c r="H142" s="1" t="s">
        <v>35</v>
      </c>
      <c r="I142" s="1" t="s">
        <v>55</v>
      </c>
      <c r="J142" s="1" t="s">
        <v>19</v>
      </c>
      <c r="K142" s="1" t="s">
        <v>170</v>
      </c>
      <c r="L142" s="1">
        <v>233</v>
      </c>
      <c r="M142" s="1" t="s">
        <v>42</v>
      </c>
    </row>
    <row r="143" spans="1:13" x14ac:dyDescent="0.3">
      <c r="A143" s="1" t="s">
        <v>340</v>
      </c>
      <c r="B143" s="1" t="s">
        <v>22</v>
      </c>
      <c r="C143" s="1" t="s">
        <v>128</v>
      </c>
      <c r="D143" s="1" t="s">
        <v>341</v>
      </c>
      <c r="E143" s="1">
        <v>1100</v>
      </c>
      <c r="F143" s="1">
        <v>46</v>
      </c>
      <c r="G143" s="1" t="s">
        <v>17</v>
      </c>
      <c r="H143" s="1" t="s">
        <v>25</v>
      </c>
      <c r="I143" s="1" t="s">
        <v>133</v>
      </c>
      <c r="J143" s="1" t="s">
        <v>19</v>
      </c>
      <c r="K143" s="1" t="s">
        <v>341</v>
      </c>
      <c r="L143" s="1">
        <v>301</v>
      </c>
      <c r="M143" s="1" t="s">
        <v>79</v>
      </c>
    </row>
    <row r="144" spans="1:13" x14ac:dyDescent="0.3">
      <c r="A144" s="1" t="s">
        <v>342</v>
      </c>
      <c r="B144" s="1" t="s">
        <v>14</v>
      </c>
      <c r="C144" s="1" t="s">
        <v>48</v>
      </c>
      <c r="D144" s="1" t="s">
        <v>76</v>
      </c>
      <c r="E144" s="1">
        <v>30</v>
      </c>
      <c r="F144" s="1">
        <v>23</v>
      </c>
      <c r="G144" s="1" t="s">
        <v>17</v>
      </c>
      <c r="H144" s="1" t="s">
        <v>99</v>
      </c>
      <c r="I144" s="1" t="s">
        <v>18</v>
      </c>
      <c r="J144" s="1" t="s">
        <v>19</v>
      </c>
      <c r="K144" s="1" t="s">
        <v>76</v>
      </c>
      <c r="L144" s="1">
        <v>170</v>
      </c>
      <c r="M144" s="1" t="s">
        <v>30</v>
      </c>
    </row>
    <row r="145" spans="1:13" x14ac:dyDescent="0.3">
      <c r="A145" s="1" t="s">
        <v>343</v>
      </c>
      <c r="B145" s="1" t="s">
        <v>22</v>
      </c>
      <c r="C145" s="1" t="s">
        <v>121</v>
      </c>
      <c r="D145" s="1" t="s">
        <v>122</v>
      </c>
      <c r="E145" s="1"/>
      <c r="F145" s="1">
        <v>21</v>
      </c>
      <c r="G145" s="1" t="s">
        <v>17</v>
      </c>
      <c r="H145" s="1"/>
      <c r="I145" s="1" t="s">
        <v>55</v>
      </c>
      <c r="J145" s="1" t="s">
        <v>19</v>
      </c>
      <c r="K145" s="1" t="s">
        <v>122</v>
      </c>
      <c r="L145" s="1">
        <v>186</v>
      </c>
      <c r="M145" s="1" t="s">
        <v>37</v>
      </c>
    </row>
    <row r="146" spans="1:13" x14ac:dyDescent="0.3">
      <c r="A146" s="1" t="s">
        <v>344</v>
      </c>
      <c r="B146" s="1" t="s">
        <v>22</v>
      </c>
      <c r="C146" s="1" t="s">
        <v>69</v>
      </c>
      <c r="D146" s="1" t="s">
        <v>345</v>
      </c>
      <c r="E146" s="1">
        <v>12</v>
      </c>
      <c r="F146" s="1">
        <v>25</v>
      </c>
      <c r="G146" s="1" t="s">
        <v>17</v>
      </c>
      <c r="H146" s="1"/>
      <c r="I146" s="1" t="s">
        <v>18</v>
      </c>
      <c r="J146" s="1" t="s">
        <v>145</v>
      </c>
      <c r="K146" s="1" t="s">
        <v>24</v>
      </c>
      <c r="L146" s="1">
        <v>186</v>
      </c>
      <c r="M146" s="1" t="s">
        <v>73</v>
      </c>
    </row>
    <row r="147" spans="1:13" x14ac:dyDescent="0.3">
      <c r="A147" s="1" t="s">
        <v>346</v>
      </c>
      <c r="B147" s="1" t="s">
        <v>14</v>
      </c>
      <c r="C147" s="1" t="s">
        <v>139</v>
      </c>
      <c r="D147" s="1" t="s">
        <v>140</v>
      </c>
      <c r="E147" s="1">
        <v>0</v>
      </c>
      <c r="F147" s="1">
        <v>24</v>
      </c>
      <c r="G147" s="1" t="s">
        <v>34</v>
      </c>
      <c r="H147" s="1"/>
      <c r="I147" s="1" t="s">
        <v>26</v>
      </c>
      <c r="J147" s="1" t="s">
        <v>19</v>
      </c>
      <c r="K147" s="1" t="s">
        <v>140</v>
      </c>
      <c r="L147" s="1">
        <v>0</v>
      </c>
      <c r="M147" s="1" t="s">
        <v>141</v>
      </c>
    </row>
    <row r="148" spans="1:13" x14ac:dyDescent="0.3">
      <c r="A148" s="1" t="s">
        <v>347</v>
      </c>
      <c r="B148" s="1" t="s">
        <v>14</v>
      </c>
      <c r="C148" s="1" t="s">
        <v>348</v>
      </c>
      <c r="D148" s="1" t="s">
        <v>348</v>
      </c>
      <c r="E148" s="1">
        <v>0</v>
      </c>
      <c r="F148" s="1">
        <v>0</v>
      </c>
      <c r="G148" s="1" t="s">
        <v>34</v>
      </c>
      <c r="H148" s="1"/>
      <c r="I148" s="1" t="s">
        <v>26</v>
      </c>
      <c r="J148" s="1" t="s">
        <v>19</v>
      </c>
      <c r="K148" s="1" t="s">
        <v>348</v>
      </c>
      <c r="L148" s="1">
        <v>0</v>
      </c>
      <c r="M148" s="1" t="s">
        <v>141</v>
      </c>
    </row>
    <row r="149" spans="1:13" x14ac:dyDescent="0.3">
      <c r="A149" s="1" t="s">
        <v>349</v>
      </c>
      <c r="B149" s="1" t="s">
        <v>22</v>
      </c>
      <c r="C149" s="1" t="s">
        <v>350</v>
      </c>
      <c r="D149" s="1" t="s">
        <v>154</v>
      </c>
      <c r="E149" s="1"/>
      <c r="F149" s="1"/>
      <c r="G149" s="1" t="s">
        <v>17</v>
      </c>
      <c r="H149" s="1"/>
      <c r="I149" s="1" t="s">
        <v>110</v>
      </c>
      <c r="J149" s="1" t="s">
        <v>151</v>
      </c>
      <c r="K149" s="1" t="s">
        <v>154</v>
      </c>
      <c r="L149" s="1">
        <v>296</v>
      </c>
      <c r="M149" s="1" t="s">
        <v>351</v>
      </c>
    </row>
    <row r="150" spans="1:13" x14ac:dyDescent="0.3">
      <c r="A150" s="1" t="s">
        <v>352</v>
      </c>
      <c r="B150" s="1" t="s">
        <v>22</v>
      </c>
      <c r="C150" s="1" t="s">
        <v>353</v>
      </c>
      <c r="D150" s="1" t="s">
        <v>76</v>
      </c>
      <c r="E150" s="1">
        <v>3000</v>
      </c>
      <c r="F150" s="1">
        <v>26</v>
      </c>
      <c r="G150" s="1" t="s">
        <v>34</v>
      </c>
      <c r="H150" s="1" t="s">
        <v>218</v>
      </c>
      <c r="I150" s="1" t="s">
        <v>55</v>
      </c>
      <c r="J150" s="1" t="s">
        <v>19</v>
      </c>
      <c r="K150" s="1" t="s">
        <v>76</v>
      </c>
      <c r="L150" s="1">
        <v>191</v>
      </c>
      <c r="M150" s="1" t="s">
        <v>42</v>
      </c>
    </row>
    <row r="151" spans="1:13" x14ac:dyDescent="0.3">
      <c r="A151" s="1" t="s">
        <v>354</v>
      </c>
      <c r="B151" s="1" t="s">
        <v>22</v>
      </c>
      <c r="C151" s="1" t="s">
        <v>23</v>
      </c>
      <c r="D151" s="1" t="s">
        <v>76</v>
      </c>
      <c r="E151" s="1">
        <v>5000</v>
      </c>
      <c r="F151" s="1">
        <v>72</v>
      </c>
      <c r="G151" s="1" t="s">
        <v>34</v>
      </c>
      <c r="H151" s="1" t="s">
        <v>50</v>
      </c>
      <c r="I151" s="1" t="s">
        <v>26</v>
      </c>
      <c r="J151" s="1" t="s">
        <v>151</v>
      </c>
      <c r="K151" s="1" t="s">
        <v>125</v>
      </c>
      <c r="L151" s="1">
        <v>666</v>
      </c>
      <c r="M151" s="1" t="s">
        <v>27</v>
      </c>
    </row>
    <row r="152" spans="1:13" x14ac:dyDescent="0.3">
      <c r="A152" s="1" t="s">
        <v>355</v>
      </c>
      <c r="B152" s="1" t="s">
        <v>22</v>
      </c>
      <c r="C152" s="1" t="s">
        <v>48</v>
      </c>
      <c r="D152" s="1" t="s">
        <v>70</v>
      </c>
      <c r="E152" s="1">
        <v>3000</v>
      </c>
      <c r="F152" s="1">
        <v>54</v>
      </c>
      <c r="G152" s="1" t="s">
        <v>17</v>
      </c>
      <c r="H152" s="1" t="s">
        <v>35</v>
      </c>
      <c r="I152" s="1" t="s">
        <v>26</v>
      </c>
      <c r="J152" s="1" t="s">
        <v>19</v>
      </c>
      <c r="K152" s="1" t="s">
        <v>70</v>
      </c>
      <c r="L152" s="1">
        <v>270</v>
      </c>
      <c r="M152" s="1" t="s">
        <v>84</v>
      </c>
    </row>
    <row r="153" spans="1:13" x14ac:dyDescent="0.3">
      <c r="A153" s="1" t="s">
        <v>356</v>
      </c>
      <c r="B153" s="1" t="s">
        <v>14</v>
      </c>
      <c r="C153" s="1" t="s">
        <v>94</v>
      </c>
      <c r="D153" s="1" t="s">
        <v>24</v>
      </c>
      <c r="E153" s="1">
        <v>100</v>
      </c>
      <c r="F153" s="1">
        <v>29</v>
      </c>
      <c r="G153" s="1" t="s">
        <v>34</v>
      </c>
      <c r="H153" s="1"/>
      <c r="I153" s="1" t="s">
        <v>18</v>
      </c>
      <c r="J153" s="1" t="s">
        <v>19</v>
      </c>
      <c r="K153" s="1" t="s">
        <v>24</v>
      </c>
      <c r="L153" s="1">
        <v>228</v>
      </c>
      <c r="M153" s="1" t="s">
        <v>79</v>
      </c>
    </row>
    <row r="154" spans="1:13" x14ac:dyDescent="0.3">
      <c r="A154" s="1" t="s">
        <v>357</v>
      </c>
      <c r="B154" s="1" t="s">
        <v>14</v>
      </c>
      <c r="C154" s="1" t="s">
        <v>124</v>
      </c>
      <c r="D154" s="1" t="s">
        <v>207</v>
      </c>
      <c r="E154" s="1">
        <v>480</v>
      </c>
      <c r="F154" s="1">
        <v>29</v>
      </c>
      <c r="G154" s="1" t="s">
        <v>34</v>
      </c>
      <c r="H154" s="1"/>
      <c r="I154" s="1" t="s">
        <v>26</v>
      </c>
      <c r="J154" s="1" t="s">
        <v>71</v>
      </c>
      <c r="K154" s="1" t="s">
        <v>207</v>
      </c>
      <c r="L154" s="1">
        <v>820</v>
      </c>
      <c r="M154" s="1" t="s">
        <v>137</v>
      </c>
    </row>
    <row r="155" spans="1:13" x14ac:dyDescent="0.3">
      <c r="A155" s="1" t="s">
        <v>358</v>
      </c>
      <c r="B155" s="1" t="s">
        <v>22</v>
      </c>
      <c r="C155" s="1" t="s">
        <v>65</v>
      </c>
      <c r="D155" s="1" t="s">
        <v>76</v>
      </c>
      <c r="E155" s="1">
        <v>5564</v>
      </c>
      <c r="F155" s="1"/>
      <c r="G155" s="1" t="s">
        <v>17</v>
      </c>
      <c r="H155" s="1" t="s">
        <v>50</v>
      </c>
      <c r="I155" s="1" t="s">
        <v>26</v>
      </c>
      <c r="J155" s="1" t="s">
        <v>151</v>
      </c>
      <c r="K155" s="1" t="s">
        <v>359</v>
      </c>
      <c r="L155" s="1">
        <v>274</v>
      </c>
      <c r="M155" s="1" t="s">
        <v>360</v>
      </c>
    </row>
    <row r="156" spans="1:13" x14ac:dyDescent="0.3">
      <c r="A156" s="1" t="s">
        <v>361</v>
      </c>
      <c r="B156" s="1" t="s">
        <v>22</v>
      </c>
      <c r="C156" s="1" t="s">
        <v>92</v>
      </c>
      <c r="D156" s="1" t="s">
        <v>83</v>
      </c>
      <c r="E156" s="1">
        <v>24</v>
      </c>
      <c r="F156" s="1">
        <v>37</v>
      </c>
      <c r="G156" s="1" t="s">
        <v>34</v>
      </c>
      <c r="H156" s="1"/>
      <c r="I156" s="1" t="s">
        <v>26</v>
      </c>
      <c r="J156" s="1" t="s">
        <v>19</v>
      </c>
      <c r="K156" s="1" t="s">
        <v>83</v>
      </c>
      <c r="L156" s="1">
        <v>179</v>
      </c>
      <c r="M156" s="1" t="s">
        <v>362</v>
      </c>
    </row>
    <row r="157" spans="1:13" x14ac:dyDescent="0.3">
      <c r="A157" s="1" t="s">
        <v>363</v>
      </c>
      <c r="B157" s="1" t="s">
        <v>14</v>
      </c>
      <c r="C157" s="1" t="s">
        <v>89</v>
      </c>
      <c r="D157" s="1" t="s">
        <v>90</v>
      </c>
      <c r="E157" s="1">
        <v>570</v>
      </c>
      <c r="F157" s="1">
        <v>36</v>
      </c>
      <c r="G157" s="1" t="s">
        <v>34</v>
      </c>
      <c r="H157" s="1"/>
      <c r="I157" s="1" t="s">
        <v>26</v>
      </c>
      <c r="J157" s="1" t="s">
        <v>19</v>
      </c>
      <c r="K157" s="1" t="s">
        <v>89</v>
      </c>
      <c r="L157" s="1">
        <v>179</v>
      </c>
      <c r="M157" s="1" t="s">
        <v>141</v>
      </c>
    </row>
    <row r="158" spans="1:13" x14ac:dyDescent="0.3">
      <c r="A158" s="1" t="s">
        <v>364</v>
      </c>
      <c r="B158" s="1" t="s">
        <v>14</v>
      </c>
      <c r="C158" s="1" t="s">
        <v>135</v>
      </c>
      <c r="D158" s="1" t="s">
        <v>136</v>
      </c>
      <c r="E158" s="1">
        <v>0</v>
      </c>
      <c r="F158" s="1">
        <v>22</v>
      </c>
      <c r="G158" s="1" t="s">
        <v>17</v>
      </c>
      <c r="H158" s="1" t="s">
        <v>35</v>
      </c>
      <c r="I158" s="1" t="s">
        <v>137</v>
      </c>
      <c r="J158" s="1" t="s">
        <v>19</v>
      </c>
      <c r="K158" s="1" t="s">
        <v>136</v>
      </c>
      <c r="L158" s="1">
        <v>287</v>
      </c>
      <c r="M158" s="1" t="s">
        <v>137</v>
      </c>
    </row>
    <row r="159" spans="1:13" x14ac:dyDescent="0.3">
      <c r="A159" s="1" t="s">
        <v>365</v>
      </c>
      <c r="B159" s="1" t="s">
        <v>14</v>
      </c>
      <c r="C159" s="1" t="s">
        <v>366</v>
      </c>
      <c r="D159" s="1" t="s">
        <v>76</v>
      </c>
      <c r="E159" s="1">
        <v>5</v>
      </c>
      <c r="F159" s="1">
        <v>25</v>
      </c>
      <c r="G159" s="1" t="s">
        <v>34</v>
      </c>
      <c r="H159" s="1"/>
      <c r="I159" s="1" t="s">
        <v>18</v>
      </c>
      <c r="J159" s="1" t="s">
        <v>19</v>
      </c>
      <c r="K159" s="1" t="s">
        <v>76</v>
      </c>
      <c r="L159" s="1">
        <v>198</v>
      </c>
      <c r="M159" s="1" t="s">
        <v>222</v>
      </c>
    </row>
    <row r="160" spans="1:13" x14ac:dyDescent="0.3">
      <c r="A160" s="1" t="s">
        <v>367</v>
      </c>
      <c r="B160" s="1" t="s">
        <v>14</v>
      </c>
      <c r="C160" s="1" t="s">
        <v>84</v>
      </c>
      <c r="D160" s="1" t="s">
        <v>177</v>
      </c>
      <c r="E160" s="1">
        <v>0</v>
      </c>
      <c r="F160" s="1">
        <v>0</v>
      </c>
      <c r="G160" s="1" t="s">
        <v>17</v>
      </c>
      <c r="H160" s="1"/>
      <c r="I160" s="1" t="s">
        <v>26</v>
      </c>
      <c r="J160" s="1" t="s">
        <v>151</v>
      </c>
      <c r="K160" s="1" t="s">
        <v>177</v>
      </c>
      <c r="L160" s="1">
        <v>0</v>
      </c>
      <c r="M160" s="1" t="s">
        <v>314</v>
      </c>
    </row>
    <row r="161" spans="1:13" x14ac:dyDescent="0.3">
      <c r="A161" s="1" t="s">
        <v>368</v>
      </c>
      <c r="B161" s="1" t="s">
        <v>22</v>
      </c>
      <c r="C161" s="1" t="s">
        <v>175</v>
      </c>
      <c r="D161" s="1" t="s">
        <v>90</v>
      </c>
      <c r="E161" s="1">
        <v>0</v>
      </c>
      <c r="F161" s="1">
        <v>37</v>
      </c>
      <c r="G161" s="1" t="s">
        <v>34</v>
      </c>
      <c r="H161" s="1" t="s">
        <v>35</v>
      </c>
      <c r="I161" s="1" t="s">
        <v>26</v>
      </c>
      <c r="J161" s="1" t="s">
        <v>19</v>
      </c>
      <c r="K161" s="1" t="s">
        <v>175</v>
      </c>
      <c r="L161" s="1">
        <v>212</v>
      </c>
      <c r="M161" s="1" t="s">
        <v>369</v>
      </c>
    </row>
    <row r="162" spans="1:13" x14ac:dyDescent="0.3">
      <c r="A162" s="1" t="s">
        <v>370</v>
      </c>
      <c r="B162" s="1" t="s">
        <v>22</v>
      </c>
      <c r="C162" s="1" t="s">
        <v>48</v>
      </c>
      <c r="D162" s="1" t="s">
        <v>54</v>
      </c>
      <c r="E162" s="1">
        <v>3000</v>
      </c>
      <c r="F162" s="1">
        <v>78</v>
      </c>
      <c r="G162" s="1" t="s">
        <v>17</v>
      </c>
      <c r="H162" s="1" t="s">
        <v>50</v>
      </c>
      <c r="I162" s="1" t="s">
        <v>18</v>
      </c>
      <c r="J162" s="1" t="s">
        <v>19</v>
      </c>
      <c r="K162" s="1" t="s">
        <v>54</v>
      </c>
      <c r="L162" s="1">
        <v>287</v>
      </c>
      <c r="M162" s="1" t="s">
        <v>27</v>
      </c>
    </row>
    <row r="163" spans="1:13" x14ac:dyDescent="0.3">
      <c r="A163" s="1" t="s">
        <v>371</v>
      </c>
      <c r="B163" s="1" t="s">
        <v>14</v>
      </c>
      <c r="C163" s="1" t="s">
        <v>84</v>
      </c>
      <c r="D163" s="1" t="s">
        <v>372</v>
      </c>
      <c r="E163" s="1">
        <v>0</v>
      </c>
      <c r="F163" s="1">
        <v>16</v>
      </c>
      <c r="G163" s="1" t="s">
        <v>17</v>
      </c>
      <c r="H163" s="1" t="s">
        <v>99</v>
      </c>
      <c r="I163" s="1" t="s">
        <v>26</v>
      </c>
      <c r="J163" s="1" t="s">
        <v>19</v>
      </c>
      <c r="K163" s="1" t="s">
        <v>372</v>
      </c>
      <c r="L163" s="1">
        <v>171</v>
      </c>
      <c r="M163" s="1" t="s">
        <v>84</v>
      </c>
    </row>
    <row r="164" spans="1:13" x14ac:dyDescent="0.3">
      <c r="A164" s="1" t="s">
        <v>373</v>
      </c>
      <c r="B164" s="1" t="s">
        <v>22</v>
      </c>
      <c r="C164" s="1" t="s">
        <v>82</v>
      </c>
      <c r="D164" s="1" t="s">
        <v>83</v>
      </c>
      <c r="E164" s="1">
        <v>990</v>
      </c>
      <c r="F164" s="1">
        <v>45</v>
      </c>
      <c r="G164" s="1" t="s">
        <v>34</v>
      </c>
      <c r="H164" s="1"/>
      <c r="I164" s="1" t="s">
        <v>55</v>
      </c>
      <c r="J164" s="1" t="s">
        <v>71</v>
      </c>
      <c r="K164" s="1" t="s">
        <v>83</v>
      </c>
      <c r="L164" s="1">
        <v>525</v>
      </c>
      <c r="M164" s="1" t="s">
        <v>84</v>
      </c>
    </row>
    <row r="165" spans="1:13" x14ac:dyDescent="0.3">
      <c r="A165" s="1" t="s">
        <v>374</v>
      </c>
      <c r="B165" s="1" t="s">
        <v>14</v>
      </c>
      <c r="C165" s="1" t="s">
        <v>92</v>
      </c>
      <c r="D165" s="1" t="s">
        <v>83</v>
      </c>
      <c r="E165" s="1">
        <v>7</v>
      </c>
      <c r="F165" s="1">
        <v>26</v>
      </c>
      <c r="G165" s="1" t="s">
        <v>34</v>
      </c>
      <c r="H165" s="1"/>
      <c r="I165" s="1" t="s">
        <v>58</v>
      </c>
      <c r="J165" s="1" t="s">
        <v>19</v>
      </c>
      <c r="K165" s="1" t="s">
        <v>83</v>
      </c>
      <c r="L165" s="1">
        <v>180</v>
      </c>
      <c r="M165" s="1" t="s">
        <v>288</v>
      </c>
    </row>
    <row r="166" spans="1:13" x14ac:dyDescent="0.3">
      <c r="A166" s="1" t="s">
        <v>375</v>
      </c>
      <c r="B166" s="1" t="s">
        <v>22</v>
      </c>
      <c r="C166" s="1" t="s">
        <v>48</v>
      </c>
      <c r="D166" s="1" t="s">
        <v>70</v>
      </c>
      <c r="E166" s="1">
        <v>3000</v>
      </c>
      <c r="F166" s="1">
        <v>58</v>
      </c>
      <c r="G166" s="1" t="s">
        <v>34</v>
      </c>
      <c r="H166" s="1" t="s">
        <v>35</v>
      </c>
      <c r="I166" s="1" t="s">
        <v>55</v>
      </c>
      <c r="J166" s="1" t="s">
        <v>19</v>
      </c>
      <c r="K166" s="1" t="s">
        <v>70</v>
      </c>
      <c r="L166" s="1">
        <v>302</v>
      </c>
      <c r="M166" s="1" t="s">
        <v>42</v>
      </c>
    </row>
    <row r="167" spans="1:13" x14ac:dyDescent="0.3">
      <c r="A167" s="1" t="s">
        <v>376</v>
      </c>
      <c r="B167" s="1" t="s">
        <v>22</v>
      </c>
      <c r="C167" s="1" t="s">
        <v>377</v>
      </c>
      <c r="D167" s="1" t="s">
        <v>54</v>
      </c>
      <c r="E167" s="1"/>
      <c r="F167" s="1">
        <v>41</v>
      </c>
      <c r="G167" s="1" t="s">
        <v>17</v>
      </c>
      <c r="H167" s="1" t="s">
        <v>25</v>
      </c>
      <c r="I167" s="1" t="s">
        <v>55</v>
      </c>
      <c r="J167" s="1" t="s">
        <v>151</v>
      </c>
      <c r="K167" s="1" t="s">
        <v>54</v>
      </c>
      <c r="L167" s="1">
        <v>247</v>
      </c>
      <c r="M167" s="1" t="s">
        <v>126</v>
      </c>
    </row>
    <row r="168" spans="1:13" x14ac:dyDescent="0.3">
      <c r="A168" s="1" t="s">
        <v>378</v>
      </c>
      <c r="B168" s="1" t="s">
        <v>22</v>
      </c>
      <c r="C168" s="1" t="s">
        <v>379</v>
      </c>
      <c r="D168" s="1" t="s">
        <v>154</v>
      </c>
      <c r="E168" s="1"/>
      <c r="F168" s="1">
        <v>23</v>
      </c>
      <c r="G168" s="1" t="s">
        <v>17</v>
      </c>
      <c r="H168" s="1"/>
      <c r="I168" s="1" t="s">
        <v>110</v>
      </c>
      <c r="J168" s="1" t="s">
        <v>19</v>
      </c>
      <c r="K168" s="1" t="s">
        <v>154</v>
      </c>
      <c r="L168" s="1">
        <v>195</v>
      </c>
      <c r="M168" s="1" t="s">
        <v>110</v>
      </c>
    </row>
    <row r="169" spans="1:13" x14ac:dyDescent="0.3">
      <c r="A169" s="1" t="s">
        <v>380</v>
      </c>
      <c r="B169" s="1" t="s">
        <v>22</v>
      </c>
      <c r="C169" s="1" t="s">
        <v>191</v>
      </c>
      <c r="D169" s="1" t="s">
        <v>381</v>
      </c>
      <c r="E169" s="1">
        <v>1000</v>
      </c>
      <c r="F169" s="1">
        <v>8</v>
      </c>
      <c r="G169" s="1" t="s">
        <v>34</v>
      </c>
      <c r="H169" s="1" t="s">
        <v>77</v>
      </c>
      <c r="I169" s="1" t="s">
        <v>137</v>
      </c>
      <c r="J169" s="1" t="s">
        <v>19</v>
      </c>
      <c r="K169" s="1" t="s">
        <v>381</v>
      </c>
      <c r="L169" s="1">
        <v>110</v>
      </c>
      <c r="M169" s="1" t="s">
        <v>126</v>
      </c>
    </row>
    <row r="170" spans="1:13" x14ac:dyDescent="0.3">
      <c r="A170" s="1" t="s">
        <v>382</v>
      </c>
      <c r="B170" s="1" t="s">
        <v>22</v>
      </c>
      <c r="C170" s="1" t="s">
        <v>383</v>
      </c>
      <c r="D170" s="1" t="s">
        <v>70</v>
      </c>
      <c r="E170" s="1">
        <v>4000</v>
      </c>
      <c r="F170" s="1">
        <v>49</v>
      </c>
      <c r="G170" s="1" t="s">
        <v>34</v>
      </c>
      <c r="H170" s="1" t="s">
        <v>35</v>
      </c>
      <c r="I170" s="1" t="s">
        <v>36</v>
      </c>
      <c r="J170" s="1" t="s">
        <v>19</v>
      </c>
      <c r="K170" s="1" t="s">
        <v>70</v>
      </c>
      <c r="L170" s="1">
        <v>298</v>
      </c>
      <c r="M170" s="1" t="s">
        <v>296</v>
      </c>
    </row>
    <row r="171" spans="1:13" x14ac:dyDescent="0.3">
      <c r="A171" s="1" t="s">
        <v>384</v>
      </c>
      <c r="B171" s="1" t="s">
        <v>14</v>
      </c>
      <c r="C171" s="1" t="s">
        <v>245</v>
      </c>
      <c r="D171" s="1" t="s">
        <v>248</v>
      </c>
      <c r="E171" s="1">
        <v>0</v>
      </c>
      <c r="F171" s="1">
        <v>19</v>
      </c>
      <c r="G171" s="1" t="s">
        <v>17</v>
      </c>
      <c r="H171" s="1"/>
      <c r="I171" s="1" t="s">
        <v>18</v>
      </c>
      <c r="J171" s="1" t="s">
        <v>19</v>
      </c>
      <c r="K171" s="1" t="s">
        <v>20</v>
      </c>
      <c r="L171" s="1">
        <v>169</v>
      </c>
      <c r="M171" s="1" t="s">
        <v>245</v>
      </c>
    </row>
    <row r="172" spans="1:13" x14ac:dyDescent="0.3">
      <c r="A172" s="1" t="s">
        <v>385</v>
      </c>
      <c r="B172" s="1" t="s">
        <v>14</v>
      </c>
      <c r="C172" s="1" t="s">
        <v>79</v>
      </c>
      <c r="D172" s="1" t="s">
        <v>386</v>
      </c>
      <c r="E172" s="1">
        <v>0</v>
      </c>
      <c r="F172" s="1">
        <v>0</v>
      </c>
      <c r="G172" s="1" t="s">
        <v>17</v>
      </c>
      <c r="H172" s="1"/>
      <c r="I172" s="1" t="s">
        <v>26</v>
      </c>
      <c r="J172" s="1" t="s">
        <v>19</v>
      </c>
      <c r="K172" s="1" t="s">
        <v>386</v>
      </c>
      <c r="L172" s="1">
        <v>178</v>
      </c>
      <c r="M172" s="1" t="s">
        <v>79</v>
      </c>
    </row>
    <row r="173" spans="1:13" x14ac:dyDescent="0.3">
      <c r="A173" s="1" t="s">
        <v>387</v>
      </c>
      <c r="B173" s="1" t="s">
        <v>14</v>
      </c>
      <c r="C173" s="1" t="s">
        <v>32</v>
      </c>
      <c r="D173" s="1" t="s">
        <v>83</v>
      </c>
      <c r="E173" s="1">
        <v>0</v>
      </c>
      <c r="F173" s="1">
        <v>47</v>
      </c>
      <c r="G173" s="1" t="s">
        <v>17</v>
      </c>
      <c r="H173" s="1"/>
      <c r="I173" s="1" t="s">
        <v>36</v>
      </c>
      <c r="J173" s="1" t="s">
        <v>19</v>
      </c>
      <c r="K173" s="1" t="s">
        <v>83</v>
      </c>
      <c r="L173" s="1">
        <v>42</v>
      </c>
      <c r="M173" s="1" t="s">
        <v>37</v>
      </c>
    </row>
    <row r="174" spans="1:13" x14ac:dyDescent="0.3">
      <c r="A174" s="1" t="s">
        <v>388</v>
      </c>
      <c r="B174" s="1" t="s">
        <v>22</v>
      </c>
      <c r="C174" s="1" t="s">
        <v>389</v>
      </c>
      <c r="D174" s="1" t="s">
        <v>76</v>
      </c>
      <c r="E174" s="1">
        <v>350</v>
      </c>
      <c r="F174" s="1">
        <v>42</v>
      </c>
      <c r="G174" s="1" t="s">
        <v>34</v>
      </c>
      <c r="H174" s="1" t="s">
        <v>35</v>
      </c>
      <c r="I174" s="1" t="s">
        <v>58</v>
      </c>
      <c r="J174" s="1" t="s">
        <v>19</v>
      </c>
      <c r="K174" s="1" t="s">
        <v>170</v>
      </c>
      <c r="L174" s="1">
        <v>166</v>
      </c>
      <c r="M174" s="1" t="s">
        <v>42</v>
      </c>
    </row>
    <row r="175" spans="1:13" x14ac:dyDescent="0.3">
      <c r="A175" s="1" t="s">
        <v>390</v>
      </c>
      <c r="B175" s="1" t="s">
        <v>14</v>
      </c>
      <c r="C175" s="1" t="s">
        <v>114</v>
      </c>
      <c r="D175" s="1" t="s">
        <v>54</v>
      </c>
      <c r="E175" s="1">
        <v>0</v>
      </c>
      <c r="F175" s="1">
        <v>0</v>
      </c>
      <c r="G175" s="1" t="s">
        <v>34</v>
      </c>
      <c r="H175" s="1"/>
      <c r="I175" s="1" t="s">
        <v>36</v>
      </c>
      <c r="J175" s="1" t="s">
        <v>19</v>
      </c>
      <c r="K175" s="1" t="s">
        <v>54</v>
      </c>
      <c r="L175" s="1">
        <v>174</v>
      </c>
      <c r="M175" s="1" t="s">
        <v>115</v>
      </c>
    </row>
    <row r="176" spans="1:13" x14ac:dyDescent="0.3">
      <c r="A176" s="1" t="s">
        <v>391</v>
      </c>
      <c r="B176" s="1" t="s">
        <v>14</v>
      </c>
      <c r="C176" s="1" t="s">
        <v>133</v>
      </c>
      <c r="D176" s="1" t="s">
        <v>268</v>
      </c>
      <c r="E176" s="1">
        <v>0</v>
      </c>
      <c r="F176" s="1">
        <v>0</v>
      </c>
      <c r="G176" s="1" t="s">
        <v>34</v>
      </c>
      <c r="H176" s="1" t="s">
        <v>99</v>
      </c>
      <c r="I176" s="1" t="s">
        <v>133</v>
      </c>
      <c r="J176" s="1" t="s">
        <v>19</v>
      </c>
      <c r="K176" s="1" t="s">
        <v>268</v>
      </c>
      <c r="L176" s="1">
        <v>0</v>
      </c>
      <c r="M176" s="1" t="s">
        <v>133</v>
      </c>
    </row>
    <row r="177" spans="1:13" x14ac:dyDescent="0.3">
      <c r="A177" s="1" t="s">
        <v>392</v>
      </c>
      <c r="B177" s="1" t="s">
        <v>22</v>
      </c>
      <c r="C177" s="1" t="s">
        <v>128</v>
      </c>
      <c r="D177" s="1" t="s">
        <v>393</v>
      </c>
      <c r="E177" s="1">
        <v>1111</v>
      </c>
      <c r="F177" s="1">
        <v>21</v>
      </c>
      <c r="G177" s="1" t="s">
        <v>17</v>
      </c>
      <c r="H177" s="1" t="s">
        <v>218</v>
      </c>
      <c r="I177" s="1" t="s">
        <v>18</v>
      </c>
      <c r="J177" s="1" t="s">
        <v>19</v>
      </c>
      <c r="K177" s="1" t="s">
        <v>393</v>
      </c>
      <c r="L177" s="1">
        <v>181</v>
      </c>
      <c r="M177" s="1" t="s">
        <v>222</v>
      </c>
    </row>
    <row r="178" spans="1:13" x14ac:dyDescent="0.3">
      <c r="A178" s="1" t="s">
        <v>394</v>
      </c>
      <c r="B178" s="1" t="s">
        <v>22</v>
      </c>
      <c r="C178" s="1" t="s">
        <v>395</v>
      </c>
      <c r="D178" s="1" t="s">
        <v>140</v>
      </c>
      <c r="E178" s="1">
        <v>300</v>
      </c>
      <c r="F178" s="1">
        <v>40</v>
      </c>
      <c r="G178" s="1" t="s">
        <v>34</v>
      </c>
      <c r="H178" s="1"/>
      <c r="I178" s="1" t="s">
        <v>26</v>
      </c>
      <c r="J178" s="1" t="s">
        <v>19</v>
      </c>
      <c r="K178" s="1" t="s">
        <v>140</v>
      </c>
      <c r="L178" s="1">
        <v>309</v>
      </c>
      <c r="M178" s="1" t="s">
        <v>126</v>
      </c>
    </row>
    <row r="179" spans="1:13" x14ac:dyDescent="0.3">
      <c r="A179" s="1" t="s">
        <v>396</v>
      </c>
      <c r="B179" s="1" t="s">
        <v>14</v>
      </c>
      <c r="C179" s="1" t="s">
        <v>61</v>
      </c>
      <c r="D179" s="1" t="s">
        <v>62</v>
      </c>
      <c r="E179" s="1">
        <v>0</v>
      </c>
      <c r="F179" s="1">
        <v>30</v>
      </c>
      <c r="G179" s="1" t="s">
        <v>34</v>
      </c>
      <c r="H179" s="1" t="s">
        <v>218</v>
      </c>
      <c r="I179" s="1" t="s">
        <v>63</v>
      </c>
      <c r="J179" s="1" t="s">
        <v>19</v>
      </c>
      <c r="K179" s="1" t="s">
        <v>62</v>
      </c>
      <c r="L179" s="1">
        <v>453</v>
      </c>
      <c r="M179" s="1" t="s">
        <v>63</v>
      </c>
    </row>
    <row r="180" spans="1:13" x14ac:dyDescent="0.3">
      <c r="A180" s="1" t="s">
        <v>397</v>
      </c>
      <c r="B180" s="1" t="s">
        <v>14</v>
      </c>
      <c r="C180" s="1" t="s">
        <v>32</v>
      </c>
      <c r="D180" s="1" t="s">
        <v>83</v>
      </c>
      <c r="E180" s="1">
        <v>0</v>
      </c>
      <c r="F180" s="1">
        <v>15</v>
      </c>
      <c r="G180" s="1" t="s">
        <v>17</v>
      </c>
      <c r="H180" s="1"/>
      <c r="I180" s="1" t="s">
        <v>36</v>
      </c>
      <c r="J180" s="1" t="s">
        <v>19</v>
      </c>
      <c r="K180" s="1" t="s">
        <v>83</v>
      </c>
      <c r="L180" s="1">
        <v>170</v>
      </c>
      <c r="M180" s="1" t="s">
        <v>37</v>
      </c>
    </row>
    <row r="181" spans="1:13" x14ac:dyDescent="0.3">
      <c r="A181" s="1" t="s">
        <v>398</v>
      </c>
      <c r="B181" s="1" t="s">
        <v>14</v>
      </c>
      <c r="C181" s="1" t="s">
        <v>61</v>
      </c>
      <c r="D181" s="1" t="s">
        <v>62</v>
      </c>
      <c r="E181" s="1">
        <v>0</v>
      </c>
      <c r="F181" s="1">
        <v>30</v>
      </c>
      <c r="G181" s="1" t="s">
        <v>34</v>
      </c>
      <c r="H181" s="1" t="s">
        <v>218</v>
      </c>
      <c r="I181" s="1" t="s">
        <v>63</v>
      </c>
      <c r="J181" s="1" t="s">
        <v>19</v>
      </c>
      <c r="K181" s="1" t="s">
        <v>62</v>
      </c>
      <c r="L181" s="1">
        <v>453</v>
      </c>
      <c r="M181" s="1" t="s">
        <v>63</v>
      </c>
    </row>
    <row r="182" spans="1:13" x14ac:dyDescent="0.3">
      <c r="A182" s="1" t="s">
        <v>399</v>
      </c>
      <c r="B182" s="1" t="s">
        <v>14</v>
      </c>
      <c r="C182" s="1" t="s">
        <v>400</v>
      </c>
      <c r="D182" s="1" t="s">
        <v>76</v>
      </c>
      <c r="E182" s="1">
        <v>320</v>
      </c>
      <c r="F182" s="1">
        <v>24</v>
      </c>
      <c r="G182" s="1" t="s">
        <v>34</v>
      </c>
      <c r="H182" s="1" t="s">
        <v>99</v>
      </c>
      <c r="I182" s="1" t="s">
        <v>36</v>
      </c>
      <c r="J182" s="1" t="s">
        <v>19</v>
      </c>
      <c r="K182" s="1" t="s">
        <v>170</v>
      </c>
      <c r="L182" s="1">
        <v>174</v>
      </c>
      <c r="M182" s="1" t="s">
        <v>42</v>
      </c>
    </row>
    <row r="183" spans="1:13" x14ac:dyDescent="0.3">
      <c r="A183" s="1" t="s">
        <v>401</v>
      </c>
      <c r="B183" s="1" t="s">
        <v>22</v>
      </c>
      <c r="C183" s="1" t="s">
        <v>32</v>
      </c>
      <c r="D183" s="1" t="s">
        <v>33</v>
      </c>
      <c r="E183" s="1">
        <v>600</v>
      </c>
      <c r="F183" s="1">
        <v>30</v>
      </c>
      <c r="G183" s="1" t="s">
        <v>34</v>
      </c>
      <c r="H183" s="1"/>
      <c r="I183" s="1" t="s">
        <v>36</v>
      </c>
      <c r="J183" s="1" t="s">
        <v>19</v>
      </c>
      <c r="K183" s="1" t="s">
        <v>33</v>
      </c>
      <c r="L183" s="1">
        <v>450</v>
      </c>
      <c r="M183" s="1" t="s">
        <v>37</v>
      </c>
    </row>
    <row r="184" spans="1:13" x14ac:dyDescent="0.3">
      <c r="A184" s="1" t="s">
        <v>402</v>
      </c>
      <c r="B184" s="1" t="s">
        <v>14</v>
      </c>
      <c r="C184" s="1" t="s">
        <v>82</v>
      </c>
      <c r="D184" s="1" t="s">
        <v>83</v>
      </c>
      <c r="E184" s="1">
        <v>0</v>
      </c>
      <c r="F184" s="1">
        <v>30</v>
      </c>
      <c r="G184" s="1" t="s">
        <v>34</v>
      </c>
      <c r="H184" s="1"/>
      <c r="I184" s="1" t="s">
        <v>55</v>
      </c>
      <c r="J184" s="1" t="s">
        <v>151</v>
      </c>
      <c r="K184" s="1" t="s">
        <v>83</v>
      </c>
      <c r="L184" s="1">
        <v>227</v>
      </c>
      <c r="M184" s="1" t="s">
        <v>126</v>
      </c>
    </row>
    <row r="185" spans="1:13" x14ac:dyDescent="0.3">
      <c r="A185" s="1" t="s">
        <v>403</v>
      </c>
      <c r="B185" s="1" t="s">
        <v>22</v>
      </c>
      <c r="C185" s="1" t="s">
        <v>110</v>
      </c>
      <c r="D185" s="1" t="s">
        <v>404</v>
      </c>
      <c r="E185" s="1"/>
      <c r="F185" s="1">
        <v>38</v>
      </c>
      <c r="G185" s="1" t="s">
        <v>17</v>
      </c>
      <c r="H185" s="1"/>
      <c r="I185" s="1" t="s">
        <v>110</v>
      </c>
      <c r="J185" s="1" t="s">
        <v>19</v>
      </c>
      <c r="K185" s="1" t="s">
        <v>405</v>
      </c>
      <c r="L185" s="1">
        <v>199</v>
      </c>
      <c r="M185" s="1" t="s">
        <v>110</v>
      </c>
    </row>
    <row r="186" spans="1:13" x14ac:dyDescent="0.3">
      <c r="A186" s="1" t="s">
        <v>406</v>
      </c>
      <c r="B186" s="1" t="s">
        <v>22</v>
      </c>
      <c r="C186" s="1" t="s">
        <v>163</v>
      </c>
      <c r="D186" s="1" t="s">
        <v>76</v>
      </c>
      <c r="E186" s="1">
        <v>20</v>
      </c>
      <c r="F186" s="1">
        <v>41</v>
      </c>
      <c r="G186" s="1" t="s">
        <v>17</v>
      </c>
      <c r="H186" s="1"/>
      <c r="I186" s="1" t="s">
        <v>26</v>
      </c>
      <c r="J186" s="1" t="s">
        <v>71</v>
      </c>
      <c r="K186" s="1" t="s">
        <v>76</v>
      </c>
      <c r="L186" s="1">
        <v>263</v>
      </c>
      <c r="M186" s="1" t="s">
        <v>164</v>
      </c>
    </row>
    <row r="187" spans="1:13" x14ac:dyDescent="0.3">
      <c r="A187" s="1" t="s">
        <v>407</v>
      </c>
      <c r="B187" s="1" t="s">
        <v>14</v>
      </c>
      <c r="C187" s="1" t="s">
        <v>94</v>
      </c>
      <c r="D187" s="1" t="s">
        <v>24</v>
      </c>
      <c r="E187" s="1">
        <v>0</v>
      </c>
      <c r="F187" s="1">
        <v>49</v>
      </c>
      <c r="G187" s="1" t="s">
        <v>34</v>
      </c>
      <c r="H187" s="1"/>
      <c r="I187" s="1" t="s">
        <v>55</v>
      </c>
      <c r="J187" s="1" t="s">
        <v>19</v>
      </c>
      <c r="K187" s="1" t="s">
        <v>24</v>
      </c>
      <c r="L187" s="1">
        <v>265</v>
      </c>
      <c r="M187" s="1" t="s">
        <v>148</v>
      </c>
    </row>
    <row r="188" spans="1:13" x14ac:dyDescent="0.3">
      <c r="A188" s="1" t="s">
        <v>408</v>
      </c>
      <c r="B188" s="1" t="s">
        <v>14</v>
      </c>
      <c r="C188" s="1" t="s">
        <v>323</v>
      </c>
      <c r="D188" s="1" t="s">
        <v>409</v>
      </c>
      <c r="E188" s="1">
        <v>0</v>
      </c>
      <c r="F188" s="1">
        <v>0</v>
      </c>
      <c r="G188" s="1" t="s">
        <v>17</v>
      </c>
      <c r="H188" s="1"/>
      <c r="I188" s="1" t="s">
        <v>26</v>
      </c>
      <c r="J188" s="1" t="s">
        <v>19</v>
      </c>
      <c r="K188" s="1" t="s">
        <v>409</v>
      </c>
      <c r="L188" s="1">
        <v>0</v>
      </c>
      <c r="M188" s="1" t="s">
        <v>325</v>
      </c>
    </row>
    <row r="189" spans="1:13" x14ac:dyDescent="0.3">
      <c r="A189" s="1" t="s">
        <v>410</v>
      </c>
      <c r="B189" s="1" t="s">
        <v>22</v>
      </c>
      <c r="C189" s="1" t="s">
        <v>411</v>
      </c>
      <c r="D189" s="1" t="s">
        <v>136</v>
      </c>
      <c r="E189" s="1"/>
      <c r="F189" s="1">
        <v>39</v>
      </c>
      <c r="G189" s="1" t="s">
        <v>17</v>
      </c>
      <c r="H189" s="1" t="s">
        <v>321</v>
      </c>
      <c r="I189" s="1" t="s">
        <v>137</v>
      </c>
      <c r="J189" s="1" t="s">
        <v>151</v>
      </c>
      <c r="K189" s="1" t="s">
        <v>412</v>
      </c>
      <c r="L189" s="1">
        <v>382</v>
      </c>
      <c r="M189" s="1" t="s">
        <v>158</v>
      </c>
    </row>
    <row r="190" spans="1:13" x14ac:dyDescent="0.3">
      <c r="A190" s="1" t="s">
        <v>413</v>
      </c>
      <c r="B190" s="1" t="s">
        <v>14</v>
      </c>
      <c r="C190" s="1" t="s">
        <v>92</v>
      </c>
      <c r="D190" s="1" t="s">
        <v>83</v>
      </c>
      <c r="E190" s="1">
        <v>0</v>
      </c>
      <c r="F190" s="1">
        <v>18</v>
      </c>
      <c r="G190" s="1" t="s">
        <v>17</v>
      </c>
      <c r="H190" s="1"/>
      <c r="I190" s="1" t="s">
        <v>18</v>
      </c>
      <c r="J190" s="1" t="s">
        <v>19</v>
      </c>
      <c r="K190" s="1" t="s">
        <v>83</v>
      </c>
      <c r="L190" s="1">
        <v>145</v>
      </c>
      <c r="M190" s="1" t="s">
        <v>362</v>
      </c>
    </row>
    <row r="191" spans="1:13" x14ac:dyDescent="0.3">
      <c r="A191" s="1" t="s">
        <v>414</v>
      </c>
      <c r="B191" s="1" t="s">
        <v>22</v>
      </c>
      <c r="C191" s="1" t="s">
        <v>92</v>
      </c>
      <c r="D191" s="1" t="s">
        <v>83</v>
      </c>
      <c r="E191" s="1">
        <v>32</v>
      </c>
      <c r="F191" s="1">
        <v>32</v>
      </c>
      <c r="G191" s="1" t="s">
        <v>34</v>
      </c>
      <c r="H191" s="1"/>
      <c r="I191" s="1" t="s">
        <v>26</v>
      </c>
      <c r="J191" s="1" t="s">
        <v>19</v>
      </c>
      <c r="K191" s="1" t="s">
        <v>83</v>
      </c>
      <c r="L191" s="1">
        <v>238</v>
      </c>
      <c r="M191" s="1" t="s">
        <v>59</v>
      </c>
    </row>
    <row r="192" spans="1:13" x14ac:dyDescent="0.3">
      <c r="A192" s="1" t="s">
        <v>415</v>
      </c>
      <c r="B192" s="1" t="s">
        <v>14</v>
      </c>
      <c r="C192" s="1" t="s">
        <v>334</v>
      </c>
      <c r="D192" s="1" t="s">
        <v>177</v>
      </c>
      <c r="E192" s="1">
        <v>0</v>
      </c>
      <c r="F192" s="1">
        <v>16</v>
      </c>
      <c r="G192" s="1" t="s">
        <v>17</v>
      </c>
      <c r="H192" s="1" t="s">
        <v>99</v>
      </c>
      <c r="I192" s="1" t="s">
        <v>133</v>
      </c>
      <c r="J192" s="1" t="s">
        <v>19</v>
      </c>
      <c r="K192" s="1" t="s">
        <v>177</v>
      </c>
      <c r="L192" s="1">
        <v>1187</v>
      </c>
      <c r="M192" s="1" t="s">
        <v>133</v>
      </c>
    </row>
    <row r="193" spans="1:13" x14ac:dyDescent="0.3">
      <c r="A193" s="1" t="s">
        <v>416</v>
      </c>
      <c r="B193" s="1" t="s">
        <v>22</v>
      </c>
      <c r="C193" s="1" t="s">
        <v>23</v>
      </c>
      <c r="D193" s="1" t="s">
        <v>24</v>
      </c>
      <c r="E193" s="1">
        <v>1374</v>
      </c>
      <c r="F193" s="1">
        <v>45</v>
      </c>
      <c r="G193" s="1" t="s">
        <v>34</v>
      </c>
      <c r="H193" s="1" t="s">
        <v>35</v>
      </c>
      <c r="I193" s="1" t="s">
        <v>26</v>
      </c>
      <c r="J193" s="1" t="s">
        <v>19</v>
      </c>
      <c r="K193" s="1" t="s">
        <v>24</v>
      </c>
      <c r="L193" s="1">
        <v>203</v>
      </c>
      <c r="M193" s="1" t="s">
        <v>27</v>
      </c>
    </row>
    <row r="194" spans="1:13" x14ac:dyDescent="0.3">
      <c r="A194" s="1" t="s">
        <v>417</v>
      </c>
      <c r="B194" s="1" t="s">
        <v>22</v>
      </c>
      <c r="C194" s="1" t="s">
        <v>121</v>
      </c>
      <c r="D194" s="1" t="s">
        <v>122</v>
      </c>
      <c r="E194" s="1"/>
      <c r="F194" s="1">
        <v>21</v>
      </c>
      <c r="G194" s="1" t="s">
        <v>17</v>
      </c>
      <c r="H194" s="1"/>
      <c r="I194" s="1" t="s">
        <v>55</v>
      </c>
      <c r="J194" s="1" t="s">
        <v>19</v>
      </c>
      <c r="K194" s="1" t="s">
        <v>122</v>
      </c>
      <c r="L194" s="1">
        <v>185</v>
      </c>
      <c r="M194" s="1" t="s">
        <v>37</v>
      </c>
    </row>
    <row r="195" spans="1:13" x14ac:dyDescent="0.3">
      <c r="A195" s="1" t="s">
        <v>418</v>
      </c>
      <c r="B195" s="1" t="s">
        <v>14</v>
      </c>
      <c r="C195" s="1" t="s">
        <v>84</v>
      </c>
      <c r="D195" s="1" t="s">
        <v>177</v>
      </c>
      <c r="E195" s="1">
        <v>0</v>
      </c>
      <c r="F195" s="1">
        <v>0</v>
      </c>
      <c r="G195" s="1" t="s">
        <v>17</v>
      </c>
      <c r="H195" s="1"/>
      <c r="I195" s="1" t="s">
        <v>26</v>
      </c>
      <c r="J195" s="1" t="s">
        <v>151</v>
      </c>
      <c r="K195" s="1" t="s">
        <v>177</v>
      </c>
      <c r="L195" s="1">
        <v>0</v>
      </c>
      <c r="M195" s="1" t="s">
        <v>314</v>
      </c>
    </row>
    <row r="196" spans="1:13" x14ac:dyDescent="0.3">
      <c r="A196" s="1" t="s">
        <v>419</v>
      </c>
      <c r="B196" s="1" t="s">
        <v>14</v>
      </c>
      <c r="C196" s="1" t="s">
        <v>61</v>
      </c>
      <c r="D196" s="1" t="s">
        <v>76</v>
      </c>
      <c r="E196" s="1">
        <v>1659</v>
      </c>
      <c r="F196" s="1">
        <v>31</v>
      </c>
      <c r="G196" s="1" t="s">
        <v>34</v>
      </c>
      <c r="H196" s="1" t="s">
        <v>420</v>
      </c>
      <c r="I196" s="1" t="s">
        <v>63</v>
      </c>
      <c r="J196" s="1" t="s">
        <v>19</v>
      </c>
      <c r="K196" s="1" t="s">
        <v>40</v>
      </c>
      <c r="L196" s="1">
        <v>191</v>
      </c>
      <c r="M196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D280-B898-4F03-BB49-5D73D1007B33}">
  <dimension ref="B2:N15"/>
  <sheetViews>
    <sheetView workbookViewId="0">
      <selection activeCell="F20" sqref="F20"/>
    </sheetView>
  </sheetViews>
  <sheetFormatPr defaultRowHeight="14.4" x14ac:dyDescent="0.3"/>
  <cols>
    <col min="2" max="2" width="17.5546875" bestFit="1" customWidth="1"/>
    <col min="3" max="3" width="7.6640625" bestFit="1" customWidth="1"/>
    <col min="4" max="4" width="16" bestFit="1" customWidth="1"/>
    <col min="5" max="5" width="12.88671875" bestFit="1" customWidth="1"/>
    <col min="6" max="6" width="9.6640625" bestFit="1" customWidth="1"/>
    <col min="7" max="7" width="4.44140625" bestFit="1" customWidth="1"/>
    <col min="8" max="8" width="10.5546875" bestFit="1" customWidth="1"/>
    <col min="9" max="9" width="22.88671875" bestFit="1" customWidth="1"/>
    <col min="10" max="10" width="14.88671875" bestFit="1" customWidth="1"/>
    <col min="11" max="11" width="6.88671875" bestFit="1" customWidth="1"/>
    <col min="12" max="12" width="11.33203125" bestFit="1" customWidth="1"/>
    <col min="13" max="13" width="10.5546875" bestFit="1" customWidth="1"/>
    <col min="14" max="14" width="16.6640625" bestFit="1" customWidth="1"/>
    <col min="15" max="15" width="4.44140625" bestFit="1" customWidth="1"/>
    <col min="16" max="16" width="14.88671875" bestFit="1" customWidth="1"/>
    <col min="17" max="17" width="10.44140625" bestFit="1" customWidth="1"/>
  </cols>
  <sheetData>
    <row r="2" spans="2:14" x14ac:dyDescent="0.3">
      <c r="B2" s="9" t="s">
        <v>421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5" spans="2:14" x14ac:dyDescent="0.3">
      <c r="B5" s="2" t="str" cm="1">
        <f t="array" ref="B5:N15">_xlfn.VSTACK(
    Dataset!A1:M1,
    _xlfn._xlws.FILTER(Dataset!A2:M196,Dataset!C2:C196="Straw Hat Pirates")
)</f>
        <v>Character</v>
      </c>
      <c r="C5" s="2" t="str">
        <v>Gender</v>
      </c>
      <c r="D5" s="2" t="str">
        <v>Affiliation</v>
      </c>
      <c r="E5" s="2" t="str">
        <v>Role</v>
      </c>
      <c r="F5" s="2" t="str">
        <v>Bounty_M</v>
      </c>
      <c r="G5" s="2" t="str">
        <v>Age</v>
      </c>
      <c r="H5" s="2" t="str">
        <v>Devil_Fruit</v>
      </c>
      <c r="I5" s="2" t="str">
        <v>Haki</v>
      </c>
      <c r="J5" s="2" t="str">
        <v>Origin</v>
      </c>
      <c r="K5" s="2" t="str">
        <v>Status</v>
      </c>
      <c r="L5" s="2" t="str">
        <v>Rank</v>
      </c>
      <c r="M5" s="2" t="str">
        <v>Height_cm</v>
      </c>
      <c r="N5" s="2" t="str">
        <v>First_Appearance</v>
      </c>
    </row>
    <row r="6" spans="2:14" x14ac:dyDescent="0.3">
      <c r="B6" s="3" t="str">
        <v>Nico Robin</v>
      </c>
      <c r="C6" s="3" t="str">
        <v>Female</v>
      </c>
      <c r="D6" s="3" t="str">
        <v>Straw Hat Pirates</v>
      </c>
      <c r="E6" s="3" t="str">
        <v>Archaeologist</v>
      </c>
      <c r="F6" s="3">
        <v>930</v>
      </c>
      <c r="G6" s="3">
        <v>30</v>
      </c>
      <c r="H6" s="3" t="str">
        <v>Yes</v>
      </c>
      <c r="I6" s="3">
        <v>0</v>
      </c>
      <c r="J6" s="3" t="str">
        <v>West Blue</v>
      </c>
      <c r="K6" s="3" t="str">
        <v>Active</v>
      </c>
      <c r="L6" s="3" t="str">
        <v>Officer</v>
      </c>
      <c r="M6" s="3">
        <v>188</v>
      </c>
      <c r="N6" s="3" t="str">
        <v>Alabasta</v>
      </c>
    </row>
    <row r="7" spans="2:14" x14ac:dyDescent="0.3">
      <c r="B7" s="3" t="str">
        <v>Franky</v>
      </c>
      <c r="C7" s="3" t="str">
        <v>Male</v>
      </c>
      <c r="D7" s="3" t="str">
        <v>Straw Hat Pirates</v>
      </c>
      <c r="E7" s="3" t="str">
        <v>Shipwright</v>
      </c>
      <c r="F7" s="3">
        <v>394</v>
      </c>
      <c r="G7" s="3">
        <v>36</v>
      </c>
      <c r="H7" s="3" t="str">
        <v>No</v>
      </c>
      <c r="I7" s="3">
        <v>0</v>
      </c>
      <c r="J7" s="3" t="str">
        <v>South Blue</v>
      </c>
      <c r="K7" s="3" t="str">
        <v>Active</v>
      </c>
      <c r="L7" s="3" t="str">
        <v>Shipwright</v>
      </c>
      <c r="M7" s="3">
        <v>240</v>
      </c>
      <c r="N7" s="3" t="str">
        <v>Water 7</v>
      </c>
    </row>
    <row r="8" spans="2:14" x14ac:dyDescent="0.3">
      <c r="B8" s="3" t="str">
        <v>Nami</v>
      </c>
      <c r="C8" s="3" t="str">
        <v>Female</v>
      </c>
      <c r="D8" s="3" t="str">
        <v>Straw Hat Pirates</v>
      </c>
      <c r="E8" s="3" t="str">
        <v>Navigator</v>
      </c>
      <c r="F8" s="3">
        <v>366</v>
      </c>
      <c r="G8" s="3">
        <v>20</v>
      </c>
      <c r="H8" s="3" t="str">
        <v>No</v>
      </c>
      <c r="I8" s="3">
        <v>0</v>
      </c>
      <c r="J8" s="3" t="str">
        <v>East Blue</v>
      </c>
      <c r="K8" s="3" t="str">
        <v>Active</v>
      </c>
      <c r="L8" s="3" t="str">
        <v>Navigator</v>
      </c>
      <c r="M8" s="3">
        <v>170</v>
      </c>
      <c r="N8" s="3" t="str">
        <v>Orange Town</v>
      </c>
    </row>
    <row r="9" spans="2:14" x14ac:dyDescent="0.3">
      <c r="B9" s="3" t="str">
        <v>Sanji</v>
      </c>
      <c r="C9" s="3" t="str">
        <v>Male</v>
      </c>
      <c r="D9" s="3" t="str">
        <v>Straw Hat Pirates</v>
      </c>
      <c r="E9" s="3" t="str">
        <v>Cook</v>
      </c>
      <c r="F9" s="3">
        <v>1032</v>
      </c>
      <c r="G9" s="3">
        <v>21</v>
      </c>
      <c r="H9" s="3" t="str">
        <v>No</v>
      </c>
      <c r="I9" s="3" t="str">
        <v>Observation + Armament</v>
      </c>
      <c r="J9" s="3" t="str">
        <v>North Blue</v>
      </c>
      <c r="K9" s="3" t="str">
        <v>Active</v>
      </c>
      <c r="L9" s="3" t="str">
        <v>Fighter</v>
      </c>
      <c r="M9" s="3">
        <v>180</v>
      </c>
      <c r="N9" s="3" t="str">
        <v>Baratie</v>
      </c>
    </row>
    <row r="10" spans="2:14" x14ac:dyDescent="0.3">
      <c r="B10" s="3" t="str">
        <v>Brook</v>
      </c>
      <c r="C10" s="3" t="str">
        <v>Male</v>
      </c>
      <c r="D10" s="3" t="str">
        <v>Straw Hat Pirates</v>
      </c>
      <c r="E10" s="3" t="str">
        <v>Musician</v>
      </c>
      <c r="F10" s="3">
        <v>383</v>
      </c>
      <c r="G10" s="3">
        <v>90</v>
      </c>
      <c r="H10" s="3" t="str">
        <v>Yes</v>
      </c>
      <c r="I10" s="3">
        <v>0</v>
      </c>
      <c r="J10" s="3" t="str">
        <v>West Blue</v>
      </c>
      <c r="K10" s="3" t="str">
        <v>Active</v>
      </c>
      <c r="L10" s="3" t="str">
        <v>Musician</v>
      </c>
      <c r="M10" s="3">
        <v>277</v>
      </c>
      <c r="N10" s="3" t="str">
        <v>Thriller Bark</v>
      </c>
    </row>
    <row r="11" spans="2:14" x14ac:dyDescent="0.3">
      <c r="B11" s="3" t="str">
        <v>Tony Tony Chopper</v>
      </c>
      <c r="C11" s="3" t="str">
        <v>Male</v>
      </c>
      <c r="D11" s="3" t="str">
        <v>Straw Hat Pirates</v>
      </c>
      <c r="E11" s="3" t="str">
        <v>Doctor</v>
      </c>
      <c r="F11" s="3">
        <v>100</v>
      </c>
      <c r="G11" s="3">
        <v>17</v>
      </c>
      <c r="H11" s="3" t="str">
        <v>Yes</v>
      </c>
      <c r="I11" s="3">
        <v>0</v>
      </c>
      <c r="J11" s="3" t="str">
        <v>Grand Line</v>
      </c>
      <c r="K11" s="3" t="str">
        <v>Active</v>
      </c>
      <c r="L11" s="3" t="str">
        <v>Doctor</v>
      </c>
      <c r="M11" s="3">
        <v>90</v>
      </c>
      <c r="N11" s="3" t="str">
        <v>Drum Island</v>
      </c>
    </row>
    <row r="12" spans="2:14" x14ac:dyDescent="0.3">
      <c r="B12" s="3" t="str">
        <v>Monkey D. Luffy</v>
      </c>
      <c r="C12" s="3" t="str">
        <v>Male</v>
      </c>
      <c r="D12" s="3" t="str">
        <v>Straw Hat Pirates</v>
      </c>
      <c r="E12" s="3" t="str">
        <v>Captain</v>
      </c>
      <c r="F12" s="3">
        <v>3000</v>
      </c>
      <c r="G12" s="3">
        <v>19</v>
      </c>
      <c r="H12" s="3" t="str">
        <v>Yes</v>
      </c>
      <c r="I12" s="3" t="str">
        <v>All Three</v>
      </c>
      <c r="J12" s="3" t="str">
        <v>East Blue</v>
      </c>
      <c r="K12" s="3" t="str">
        <v>Active</v>
      </c>
      <c r="L12" s="3" t="str">
        <v>Emperor</v>
      </c>
      <c r="M12" s="3">
        <v>174</v>
      </c>
      <c r="N12" s="3" t="str">
        <v>Romance Dawn</v>
      </c>
    </row>
    <row r="13" spans="2:14" x14ac:dyDescent="0.3">
      <c r="B13" s="3" t="str">
        <v>Usopp</v>
      </c>
      <c r="C13" s="3" t="str">
        <v>Male</v>
      </c>
      <c r="D13" s="3" t="str">
        <v>Straw Hat Pirates</v>
      </c>
      <c r="E13" s="3" t="str">
        <v>Sniper</v>
      </c>
      <c r="F13" s="3">
        <v>500</v>
      </c>
      <c r="G13" s="3">
        <v>19</v>
      </c>
      <c r="H13" s="3" t="str">
        <v>No</v>
      </c>
      <c r="I13" s="3" t="str">
        <v>Observation</v>
      </c>
      <c r="J13" s="3" t="str">
        <v>East Blue</v>
      </c>
      <c r="K13" s="3" t="str">
        <v>Active</v>
      </c>
      <c r="L13" s="3" t="str">
        <v>Sniper</v>
      </c>
      <c r="M13" s="3">
        <v>176</v>
      </c>
      <c r="N13" s="3" t="str">
        <v>Syrup Village</v>
      </c>
    </row>
    <row r="14" spans="2:14" x14ac:dyDescent="0.3">
      <c r="B14" s="3" t="str">
        <v>Jinbe</v>
      </c>
      <c r="C14" s="3" t="str">
        <v>Male</v>
      </c>
      <c r="D14" s="3" t="str">
        <v>Straw Hat Pirates</v>
      </c>
      <c r="E14" s="3" t="str">
        <v>Helmsman</v>
      </c>
      <c r="F14" s="3">
        <v>1100</v>
      </c>
      <c r="G14" s="3">
        <v>46</v>
      </c>
      <c r="H14" s="3" t="str">
        <v>No</v>
      </c>
      <c r="I14" s="3" t="str">
        <v>Armament</v>
      </c>
      <c r="J14" s="3" t="str">
        <v>Fish-Man Island</v>
      </c>
      <c r="K14" s="3" t="str">
        <v>Active</v>
      </c>
      <c r="L14" s="3" t="str">
        <v>Helmsman</v>
      </c>
      <c r="M14" s="3">
        <v>301</v>
      </c>
      <c r="N14" s="3" t="str">
        <v>Impel Down</v>
      </c>
    </row>
    <row r="15" spans="2:14" x14ac:dyDescent="0.3">
      <c r="B15" s="3" t="str">
        <v>Roronoa Zoro</v>
      </c>
      <c r="C15" s="3" t="str">
        <v>Male</v>
      </c>
      <c r="D15" s="3" t="str">
        <v>Straw Hat Pirates</v>
      </c>
      <c r="E15" s="3" t="str">
        <v>Swordsman</v>
      </c>
      <c r="F15" s="3">
        <v>1111</v>
      </c>
      <c r="G15" s="3">
        <v>21</v>
      </c>
      <c r="H15" s="3" t="str">
        <v>No</v>
      </c>
      <c r="I15" s="3" t="str">
        <v>Observation + Armament</v>
      </c>
      <c r="J15" s="3" t="str">
        <v>East Blue</v>
      </c>
      <c r="K15" s="3" t="str">
        <v>Active</v>
      </c>
      <c r="L15" s="3" t="str">
        <v>Swordsman</v>
      </c>
      <c r="M15" s="3">
        <v>181</v>
      </c>
      <c r="N15" s="3" t="str">
        <v>Romance Dawn</v>
      </c>
    </row>
  </sheetData>
  <mergeCells count="1">
    <mergeCell ref="B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CF01-36DC-4154-834B-1FAC3EB1977E}">
  <dimension ref="B2:N199"/>
  <sheetViews>
    <sheetView workbookViewId="0">
      <selection activeCell="D4" sqref="D4"/>
    </sheetView>
  </sheetViews>
  <sheetFormatPr defaultRowHeight="14.4" x14ac:dyDescent="0.3"/>
  <cols>
    <col min="2" max="2" width="28.109375" bestFit="1" customWidth="1"/>
    <col min="3" max="3" width="7.44140625" bestFit="1" customWidth="1"/>
    <col min="4" max="4" width="36" bestFit="1" customWidth="1"/>
    <col min="5" max="5" width="19.44140625" bestFit="1" customWidth="1"/>
    <col min="6" max="6" width="5.44140625" bestFit="1" customWidth="1"/>
    <col min="7" max="7" width="4.44140625" bestFit="1" customWidth="1"/>
    <col min="8" max="8" width="4.109375" bestFit="1" customWidth="1"/>
    <col min="9" max="9" width="34.33203125" bestFit="1" customWidth="1"/>
    <col min="10" max="10" width="14.88671875" bestFit="1" customWidth="1"/>
    <col min="11" max="11" width="10.88671875" bestFit="1" customWidth="1"/>
    <col min="12" max="12" width="17.88671875" bestFit="1" customWidth="1"/>
    <col min="13" max="13" width="5.44140625" bestFit="1" customWidth="1"/>
    <col min="14" max="14" width="23.88671875" bestFit="1" customWidth="1"/>
  </cols>
  <sheetData>
    <row r="2" spans="2:14" x14ac:dyDescent="0.3">
      <c r="B2" s="12" t="s">
        <v>422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2:14" x14ac:dyDescent="0.3">
      <c r="B4" s="2" t="str" cm="1">
        <f t="array" ref="B4:N199">_xlfn._xlws.SORT(Dataset!A1:M196,5,-1)</f>
        <v>Character</v>
      </c>
      <c r="C4" s="2" t="str">
        <v>Gender</v>
      </c>
      <c r="D4" s="2" t="str">
        <v>Affiliation</v>
      </c>
      <c r="E4" s="2" t="str">
        <v>Role</v>
      </c>
      <c r="F4" s="2" t="str">
        <v>Bounty_M</v>
      </c>
      <c r="G4" s="2" t="str">
        <v>Age</v>
      </c>
      <c r="H4" s="2" t="str">
        <v>Devil_Fruit</v>
      </c>
      <c r="I4" s="2" t="str">
        <v>Haki</v>
      </c>
      <c r="J4" s="2" t="str">
        <v>Origin</v>
      </c>
      <c r="K4" s="2" t="str">
        <v>Status</v>
      </c>
      <c r="L4" s="2" t="str">
        <v>Rank</v>
      </c>
      <c r="M4" s="2" t="str">
        <v>Height_cm</v>
      </c>
      <c r="N4" s="2" t="str">
        <v>First_Appearance</v>
      </c>
    </row>
    <row r="5" spans="2:14" x14ac:dyDescent="0.3">
      <c r="B5" s="3" t="str">
        <v>Gol D. Roger</v>
      </c>
      <c r="C5" s="3" t="str">
        <v>Male</v>
      </c>
      <c r="D5" s="3" t="str">
        <v>Roger Pirates</v>
      </c>
      <c r="E5" s="3" t="str">
        <v>Captain</v>
      </c>
      <c r="F5" s="3">
        <v>5564</v>
      </c>
      <c r="G5" s="3">
        <v>0</v>
      </c>
      <c r="H5" s="3" t="str">
        <v>No</v>
      </c>
      <c r="I5" s="3" t="str">
        <v>All Three</v>
      </c>
      <c r="J5" s="3" t="str">
        <v>Grand Line</v>
      </c>
      <c r="K5" s="3" t="str">
        <v>Deceased</v>
      </c>
      <c r="L5" s="3" t="str">
        <v>Pirate King</v>
      </c>
      <c r="M5" s="3">
        <v>274</v>
      </c>
      <c r="N5" s="3" t="str">
        <v>Roger's Execution</v>
      </c>
    </row>
    <row r="6" spans="2:14" x14ac:dyDescent="0.3">
      <c r="B6" s="3" t="str">
        <v>Sakazuki (Akainu)</v>
      </c>
      <c r="C6" s="3" t="str">
        <v>Male</v>
      </c>
      <c r="D6" s="3" t="str">
        <v>Marines</v>
      </c>
      <c r="E6" s="3" t="str">
        <v>Fleet Admiral</v>
      </c>
      <c r="F6" s="3">
        <v>5000</v>
      </c>
      <c r="G6" s="3">
        <v>55</v>
      </c>
      <c r="H6" s="3" t="str">
        <v>Yes</v>
      </c>
      <c r="I6" s="3" t="str">
        <v>Armament + Observation</v>
      </c>
      <c r="J6" s="3" t="str">
        <v>North Blue</v>
      </c>
      <c r="K6" s="3" t="str">
        <v>Active</v>
      </c>
      <c r="L6" s="3" t="str">
        <v>Fleet Admiral</v>
      </c>
      <c r="M6" s="3">
        <v>306</v>
      </c>
      <c r="N6" s="3" t="str">
        <v>Marineford</v>
      </c>
    </row>
    <row r="7" spans="2:14" x14ac:dyDescent="0.3">
      <c r="B7" s="3" t="str">
        <v>Edward Newgate</v>
      </c>
      <c r="C7" s="3" t="str">
        <v>Male</v>
      </c>
      <c r="D7" s="3" t="str">
        <v>Whitebeard Pirates</v>
      </c>
      <c r="E7" s="3" t="str">
        <v>Captain</v>
      </c>
      <c r="F7" s="3">
        <v>5000</v>
      </c>
      <c r="G7" s="3">
        <v>72</v>
      </c>
      <c r="H7" s="3" t="str">
        <v>Yes</v>
      </c>
      <c r="I7" s="3" t="str">
        <v>All Three</v>
      </c>
      <c r="J7" s="3" t="str">
        <v>Grand Line</v>
      </c>
      <c r="K7" s="3" t="str">
        <v>Deceased</v>
      </c>
      <c r="L7" s="3" t="str">
        <v>Emperor</v>
      </c>
      <c r="M7" s="3">
        <v>666</v>
      </c>
      <c r="N7" s="3" t="str">
        <v>Marineford</v>
      </c>
    </row>
    <row r="8" spans="2:14" x14ac:dyDescent="0.3">
      <c r="B8" s="3" t="str">
        <v>Kaido</v>
      </c>
      <c r="C8" s="3" t="str">
        <v>Male</v>
      </c>
      <c r="D8" s="3" t="str">
        <v>Beasts Pirates</v>
      </c>
      <c r="E8" s="3" t="str">
        <v>Captain</v>
      </c>
      <c r="F8" s="3">
        <v>4611</v>
      </c>
      <c r="G8" s="3">
        <v>59</v>
      </c>
      <c r="H8" s="3" t="str">
        <v>Yes</v>
      </c>
      <c r="I8" s="3" t="str">
        <v>All Three</v>
      </c>
      <c r="J8" s="3" t="str">
        <v>Grand Line</v>
      </c>
      <c r="K8" s="3" t="str">
        <v>Defeated</v>
      </c>
      <c r="L8" s="3" t="str">
        <v>Emperor</v>
      </c>
      <c r="M8" s="3">
        <v>710</v>
      </c>
      <c r="N8" s="3" t="str">
        <v>Punk Hazard</v>
      </c>
    </row>
    <row r="9" spans="2:14" x14ac:dyDescent="0.3">
      <c r="B9" s="3" t="str">
        <v>Charlotte Linlin (Big Mom)</v>
      </c>
      <c r="C9" s="3" t="str">
        <v>Female</v>
      </c>
      <c r="D9" s="3" t="str">
        <v>Big Mom Pirates</v>
      </c>
      <c r="E9" s="3" t="str">
        <v>Captain</v>
      </c>
      <c r="F9" s="3">
        <v>4300</v>
      </c>
      <c r="G9" s="3">
        <v>68</v>
      </c>
      <c r="H9" s="3" t="str">
        <v>Yes</v>
      </c>
      <c r="I9" s="3" t="str">
        <v>All Three</v>
      </c>
      <c r="J9" s="3" t="str">
        <v>Grand Line</v>
      </c>
      <c r="K9" s="3" t="str">
        <v>Defeated</v>
      </c>
      <c r="L9" s="3" t="str">
        <v>Emperor</v>
      </c>
      <c r="M9" s="3">
        <v>880</v>
      </c>
      <c r="N9" s="3" t="str">
        <v>Elbaf flashback</v>
      </c>
    </row>
    <row r="10" spans="2:14" x14ac:dyDescent="0.3">
      <c r="B10" s="3" t="str">
        <v>Shanks</v>
      </c>
      <c r="C10" s="3" t="str">
        <v>Male</v>
      </c>
      <c r="D10" s="3" t="str">
        <v>Red Hair Pirates</v>
      </c>
      <c r="E10" s="3" t="str">
        <v>Captain</v>
      </c>
      <c r="F10" s="3">
        <v>4000</v>
      </c>
      <c r="G10" s="3">
        <v>39</v>
      </c>
      <c r="H10" s="3" t="str">
        <v>No</v>
      </c>
      <c r="I10" s="3" t="str">
        <v>All Three</v>
      </c>
      <c r="J10" s="3" t="str">
        <v>West Blue</v>
      </c>
      <c r="K10" s="3" t="str">
        <v>Active</v>
      </c>
      <c r="L10" s="3" t="str">
        <v>Emperor</v>
      </c>
      <c r="M10" s="3">
        <v>199</v>
      </c>
      <c r="N10" s="3" t="str">
        <v>Foosha Village</v>
      </c>
    </row>
    <row r="11" spans="2:14" x14ac:dyDescent="0.3">
      <c r="B11" s="3" t="str">
        <v>Kuzan (Aokiji)</v>
      </c>
      <c r="C11" s="3" t="str">
        <v>Male</v>
      </c>
      <c r="D11" s="3" t="str">
        <v>Former Marines / Blackbeard Pirates</v>
      </c>
      <c r="E11" s="3" t="str">
        <v>Admiral</v>
      </c>
      <c r="F11" s="3">
        <v>4000</v>
      </c>
      <c r="G11" s="3">
        <v>49</v>
      </c>
      <c r="H11" s="3" t="str">
        <v>Yes</v>
      </c>
      <c r="I11" s="3" t="str">
        <v>Armament + Observation</v>
      </c>
      <c r="J11" s="3" t="str">
        <v>South Blue</v>
      </c>
      <c r="K11" s="3" t="str">
        <v>Active</v>
      </c>
      <c r="L11" s="3" t="str">
        <v>Admiral</v>
      </c>
      <c r="M11" s="3">
        <v>298</v>
      </c>
      <c r="N11" s="3" t="str">
        <v>Long Ring Long Land</v>
      </c>
    </row>
    <row r="12" spans="2:14" x14ac:dyDescent="0.3">
      <c r="B12" s="3" t="str">
        <v>Marshall D. Teach</v>
      </c>
      <c r="C12" s="3" t="str">
        <v>Male</v>
      </c>
      <c r="D12" s="3" t="str">
        <v>Blackbeard Pirates</v>
      </c>
      <c r="E12" s="3" t="str">
        <v>Captain</v>
      </c>
      <c r="F12" s="3">
        <v>3996</v>
      </c>
      <c r="G12" s="3">
        <v>40</v>
      </c>
      <c r="H12" s="3" t="str">
        <v>Yes</v>
      </c>
      <c r="I12" s="3" t="str">
        <v>Conqueror</v>
      </c>
      <c r="J12" s="3" t="str">
        <v>Grand Line</v>
      </c>
      <c r="K12" s="3" t="str">
        <v>Active</v>
      </c>
      <c r="L12" s="3" t="str">
        <v>Emperor</v>
      </c>
      <c r="M12" s="3">
        <v>344</v>
      </c>
      <c r="N12" s="3" t="str">
        <v>Jaya</v>
      </c>
    </row>
    <row r="13" spans="2:14" x14ac:dyDescent="0.3">
      <c r="B13" s="3" t="str">
        <v>Donquixote Doflamingo</v>
      </c>
      <c r="C13" s="3" t="str">
        <v>Male</v>
      </c>
      <c r="D13" s="3" t="str">
        <v>Donquixote Pirates</v>
      </c>
      <c r="E13" s="3" t="str">
        <v>Captain</v>
      </c>
      <c r="F13" s="3">
        <v>3400</v>
      </c>
      <c r="G13" s="3">
        <v>41</v>
      </c>
      <c r="H13" s="3" t="str">
        <v>Yes</v>
      </c>
      <c r="I13" s="3" t="str">
        <v>All Three</v>
      </c>
      <c r="J13" s="3" t="str">
        <v>North Blue</v>
      </c>
      <c r="K13" s="3" t="str">
        <v>Imprisoned</v>
      </c>
      <c r="L13" s="3" t="str">
        <v>Warlord</v>
      </c>
      <c r="M13" s="3">
        <v>305</v>
      </c>
      <c r="N13" s="3" t="str">
        <v>Jaya</v>
      </c>
    </row>
    <row r="14" spans="2:14" x14ac:dyDescent="0.3">
      <c r="B14" s="3" t="str">
        <v>Sengoku</v>
      </c>
      <c r="C14" s="3" t="str">
        <v>Male</v>
      </c>
      <c r="D14" s="3" t="str">
        <v>Marines</v>
      </c>
      <c r="E14" s="3" t="str">
        <v>Fleet Admiral</v>
      </c>
      <c r="F14" s="3">
        <v>3000</v>
      </c>
      <c r="G14" s="3">
        <v>79</v>
      </c>
      <c r="H14" s="3" t="str">
        <v>Yes</v>
      </c>
      <c r="I14" s="3" t="str">
        <v>All Three</v>
      </c>
      <c r="J14" s="3" t="str">
        <v>Grand Line</v>
      </c>
      <c r="K14" s="3" t="str">
        <v>Retired</v>
      </c>
      <c r="L14" s="3" t="str">
        <v>Fleet Admiral</v>
      </c>
      <c r="M14" s="3">
        <v>278</v>
      </c>
      <c r="N14" s="3" t="str">
        <v>Marineford</v>
      </c>
    </row>
    <row r="15" spans="2:14" x14ac:dyDescent="0.3">
      <c r="B15" s="3" t="str">
        <v>Eustass Kid</v>
      </c>
      <c r="C15" s="3" t="str">
        <v>Male</v>
      </c>
      <c r="D15" s="3" t="str">
        <v>Kid Pirates</v>
      </c>
      <c r="E15" s="3" t="str">
        <v>Captain</v>
      </c>
      <c r="F15" s="3">
        <v>3000</v>
      </c>
      <c r="G15" s="3">
        <v>23</v>
      </c>
      <c r="H15" s="3" t="str">
        <v>Yes</v>
      </c>
      <c r="I15" s="3" t="str">
        <v>Observation + Armament + Conqueror</v>
      </c>
      <c r="J15" s="3" t="str">
        <v>South Blue</v>
      </c>
      <c r="K15" s="3" t="str">
        <v>Active</v>
      </c>
      <c r="L15" s="3" t="str">
        <v>Captain</v>
      </c>
      <c r="M15" s="3">
        <v>205</v>
      </c>
      <c r="N15" s="3" t="str">
        <v>Sabaody Archipelago</v>
      </c>
    </row>
    <row r="16" spans="2:14" x14ac:dyDescent="0.3">
      <c r="B16" s="3" t="str">
        <v>Aramaki (Ryokugyu)</v>
      </c>
      <c r="C16" s="3" t="str">
        <v>Male</v>
      </c>
      <c r="D16" s="3" t="str">
        <v>Marines</v>
      </c>
      <c r="E16" s="3" t="str">
        <v>Admiral</v>
      </c>
      <c r="F16" s="3">
        <v>3000</v>
      </c>
      <c r="G16" s="3">
        <v>41</v>
      </c>
      <c r="H16" s="3" t="str">
        <v>Yes</v>
      </c>
      <c r="I16" s="3" t="str">
        <v>Armament + Observation</v>
      </c>
      <c r="J16" s="3" t="str">
        <v>North Blue</v>
      </c>
      <c r="K16" s="3" t="str">
        <v>Active</v>
      </c>
      <c r="L16" s="3" t="str">
        <v>Admiral</v>
      </c>
      <c r="M16" s="3">
        <v>200</v>
      </c>
      <c r="N16" s="3" t="str">
        <v>Wano</v>
      </c>
    </row>
    <row r="17" spans="2:14" x14ac:dyDescent="0.3">
      <c r="B17" s="3" t="str">
        <v>Monkey D. Luffy</v>
      </c>
      <c r="C17" s="3" t="str">
        <v>Male</v>
      </c>
      <c r="D17" s="3" t="str">
        <v>Straw Hat Pirates</v>
      </c>
      <c r="E17" s="3" t="str">
        <v>Captain</v>
      </c>
      <c r="F17" s="3">
        <v>3000</v>
      </c>
      <c r="G17" s="3">
        <v>19</v>
      </c>
      <c r="H17" s="3" t="str">
        <v>Yes</v>
      </c>
      <c r="I17" s="3" t="str">
        <v>All Three</v>
      </c>
      <c r="J17" s="3" t="str">
        <v>East Blue</v>
      </c>
      <c r="K17" s="3" t="str">
        <v>Active</v>
      </c>
      <c r="L17" s="3" t="str">
        <v>Emperor</v>
      </c>
      <c r="M17" s="3">
        <v>174</v>
      </c>
      <c r="N17" s="3" t="str">
        <v>Romance Dawn</v>
      </c>
    </row>
    <row r="18" spans="2:14" x14ac:dyDescent="0.3">
      <c r="B18" s="3" t="str">
        <v>Trafalgar D. Water Law</v>
      </c>
      <c r="C18" s="3" t="str">
        <v>Male</v>
      </c>
      <c r="D18" s="3" t="str">
        <v>Heart Pirates</v>
      </c>
      <c r="E18" s="3" t="str">
        <v>Captain</v>
      </c>
      <c r="F18" s="3">
        <v>3000</v>
      </c>
      <c r="G18" s="3">
        <v>26</v>
      </c>
      <c r="H18" s="3" t="str">
        <v>Yes</v>
      </c>
      <c r="I18" s="3" t="str">
        <v>Observation + Armament</v>
      </c>
      <c r="J18" s="3" t="str">
        <v>North Blue</v>
      </c>
      <c r="K18" s="3" t="str">
        <v>Active</v>
      </c>
      <c r="L18" s="3" t="str">
        <v>Captain</v>
      </c>
      <c r="M18" s="3">
        <v>191</v>
      </c>
      <c r="N18" s="3" t="str">
        <v>Sabaody Archipelago</v>
      </c>
    </row>
    <row r="19" spans="2:14" x14ac:dyDescent="0.3">
      <c r="B19" s="3" t="str">
        <v>Issho (Fujitora)</v>
      </c>
      <c r="C19" s="3" t="str">
        <v>Male</v>
      </c>
      <c r="D19" s="3" t="str">
        <v>Marines</v>
      </c>
      <c r="E19" s="3" t="str">
        <v>Admiral</v>
      </c>
      <c r="F19" s="3">
        <v>3000</v>
      </c>
      <c r="G19" s="3">
        <v>54</v>
      </c>
      <c r="H19" s="3" t="str">
        <v>No</v>
      </c>
      <c r="I19" s="3" t="str">
        <v>Armament + Observation</v>
      </c>
      <c r="J19" s="3" t="str">
        <v>Grand Line</v>
      </c>
      <c r="K19" s="3" t="str">
        <v>Active</v>
      </c>
      <c r="L19" s="3" t="str">
        <v>Admiral</v>
      </c>
      <c r="M19" s="3">
        <v>270</v>
      </c>
      <c r="N19" s="3" t="str">
        <v>Dressrosa</v>
      </c>
    </row>
    <row r="20" spans="2:14" x14ac:dyDescent="0.3">
      <c r="B20" s="3" t="str">
        <v>Monkey D. Garp</v>
      </c>
      <c r="C20" s="3" t="str">
        <v>Male</v>
      </c>
      <c r="D20" s="3" t="str">
        <v>Marines</v>
      </c>
      <c r="E20" s="3" t="str">
        <v>Vice Admiral</v>
      </c>
      <c r="F20" s="3">
        <v>3000</v>
      </c>
      <c r="G20" s="3">
        <v>78</v>
      </c>
      <c r="H20" s="3" t="str">
        <v>No</v>
      </c>
      <c r="I20" s="3" t="str">
        <v>All Three</v>
      </c>
      <c r="J20" s="3" t="str">
        <v>East Blue</v>
      </c>
      <c r="K20" s="3" t="str">
        <v>Active</v>
      </c>
      <c r="L20" s="3" t="str">
        <v>Vice Admiral</v>
      </c>
      <c r="M20" s="3">
        <v>287</v>
      </c>
      <c r="N20" s="3" t="str">
        <v>Marineford</v>
      </c>
    </row>
    <row r="21" spans="2:14" x14ac:dyDescent="0.3">
      <c r="B21" s="3" t="str">
        <v>Borsalino (Kizaru)</v>
      </c>
      <c r="C21" s="3" t="str">
        <v>Male</v>
      </c>
      <c r="D21" s="3" t="str">
        <v>Marines</v>
      </c>
      <c r="E21" s="3" t="str">
        <v>Admiral</v>
      </c>
      <c r="F21" s="3">
        <v>3000</v>
      </c>
      <c r="G21" s="3">
        <v>58</v>
      </c>
      <c r="H21" s="3" t="str">
        <v>Yes</v>
      </c>
      <c r="I21" s="3" t="str">
        <v>Armament + Observation</v>
      </c>
      <c r="J21" s="3" t="str">
        <v>North Blue</v>
      </c>
      <c r="K21" s="3" t="str">
        <v>Active</v>
      </c>
      <c r="L21" s="3" t="str">
        <v>Admiral</v>
      </c>
      <c r="M21" s="3">
        <v>302</v>
      </c>
      <c r="N21" s="3" t="str">
        <v>Sabaody Archipelago</v>
      </c>
    </row>
    <row r="22" spans="2:14" x14ac:dyDescent="0.3">
      <c r="B22" s="3" t="str">
        <v>Crocodile</v>
      </c>
      <c r="C22" s="3" t="str">
        <v>Male</v>
      </c>
      <c r="D22" s="3" t="str">
        <v>Baroque Works / Cross Guild</v>
      </c>
      <c r="E22" s="3" t="str">
        <v>Former Warlord</v>
      </c>
      <c r="F22" s="3">
        <v>1965</v>
      </c>
      <c r="G22" s="3">
        <v>46</v>
      </c>
      <c r="H22" s="3" t="str">
        <v>Yes</v>
      </c>
      <c r="I22" s="3" t="str">
        <v>Armament</v>
      </c>
      <c r="J22" s="3" t="str">
        <v>Grand Line</v>
      </c>
      <c r="K22" s="3" t="str">
        <v>Active</v>
      </c>
      <c r="L22" s="3" t="str">
        <v>Former Warlord</v>
      </c>
      <c r="M22" s="3">
        <v>253</v>
      </c>
      <c r="N22" s="3" t="str">
        <v>Alabasta</v>
      </c>
    </row>
    <row r="23" spans="2:14" x14ac:dyDescent="0.3">
      <c r="B23" s="3" t="str">
        <v>Boa Hancock</v>
      </c>
      <c r="C23" s="3" t="str">
        <v>Female</v>
      </c>
      <c r="D23" s="3" t="str">
        <v>Kuja Pirates</v>
      </c>
      <c r="E23" s="3" t="str">
        <v>Captain</v>
      </c>
      <c r="F23" s="3">
        <v>1659</v>
      </c>
      <c r="G23" s="3">
        <v>31</v>
      </c>
      <c r="H23" s="3" t="str">
        <v>Yes</v>
      </c>
      <c r="I23" s="3" t="str">
        <v>oo</v>
      </c>
      <c r="J23" s="3" t="str">
        <v>Amazon Lily</v>
      </c>
      <c r="K23" s="3" t="str">
        <v>Active</v>
      </c>
      <c r="L23" s="3" t="str">
        <v>Warlord</v>
      </c>
      <c r="M23" s="3">
        <v>191</v>
      </c>
      <c r="N23" s="3" t="str">
        <v>Amazon Lily</v>
      </c>
    </row>
    <row r="24" spans="2:14" x14ac:dyDescent="0.3">
      <c r="B24" s="3" t="str">
        <v>King</v>
      </c>
      <c r="C24" s="3" t="str">
        <v>Male</v>
      </c>
      <c r="D24" s="3" t="str">
        <v>Beasts Pirates</v>
      </c>
      <c r="E24" s="3" t="str">
        <v>All-Star</v>
      </c>
      <c r="F24" s="3">
        <v>1390</v>
      </c>
      <c r="G24" s="3">
        <v>47</v>
      </c>
      <c r="H24" s="3" t="str">
        <v>No</v>
      </c>
      <c r="I24" s="3" t="str">
        <v>Armament + Observation</v>
      </c>
      <c r="J24" s="3" t="str">
        <v>Grand Line</v>
      </c>
      <c r="K24" s="3" t="str">
        <v>Defeated</v>
      </c>
      <c r="L24" s="3" t="str">
        <v>All-Star</v>
      </c>
      <c r="M24" s="3">
        <v>613</v>
      </c>
      <c r="N24" s="3" t="str">
        <v>Wano</v>
      </c>
    </row>
    <row r="25" spans="2:14" x14ac:dyDescent="0.3">
      <c r="B25" s="3" t="str">
        <v>Marco</v>
      </c>
      <c r="C25" s="3" t="str">
        <v>Male</v>
      </c>
      <c r="D25" s="3" t="str">
        <v>Whitebeard Pirates</v>
      </c>
      <c r="E25" s="3" t="str">
        <v>Commander</v>
      </c>
      <c r="F25" s="3">
        <v>1374</v>
      </c>
      <c r="G25" s="3">
        <v>45</v>
      </c>
      <c r="H25" s="3" t="str">
        <v>Yes</v>
      </c>
      <c r="I25" s="3" t="str">
        <v>Armament + Observation</v>
      </c>
      <c r="J25" s="3" t="str">
        <v>Grand Line</v>
      </c>
      <c r="K25" s="3" t="str">
        <v>Active</v>
      </c>
      <c r="L25" s="3" t="str">
        <v>Commander</v>
      </c>
      <c r="M25" s="3">
        <v>203</v>
      </c>
      <c r="N25" s="3" t="str">
        <v>Marineford</v>
      </c>
    </row>
    <row r="26" spans="2:14" x14ac:dyDescent="0.3">
      <c r="B26" s="3" t="str">
        <v>Queen</v>
      </c>
      <c r="C26" s="3" t="str">
        <v>Male</v>
      </c>
      <c r="D26" s="3" t="str">
        <v>Beasts Pirates</v>
      </c>
      <c r="E26" s="3" t="str">
        <v>All-Star</v>
      </c>
      <c r="F26" s="3">
        <v>1320</v>
      </c>
      <c r="G26" s="3">
        <v>56</v>
      </c>
      <c r="H26" s="3" t="str">
        <v>Yes</v>
      </c>
      <c r="I26" s="3">
        <v>0</v>
      </c>
      <c r="J26" s="3" t="str">
        <v>Grand Line</v>
      </c>
      <c r="K26" s="3" t="str">
        <v>Defeated</v>
      </c>
      <c r="L26" s="3" t="str">
        <v>All-Star</v>
      </c>
      <c r="M26" s="3">
        <v>612</v>
      </c>
      <c r="N26" s="3" t="str">
        <v>Wano</v>
      </c>
    </row>
    <row r="27" spans="2:14" x14ac:dyDescent="0.3">
      <c r="B27" s="3" t="str">
        <v>Roronoa Zoro</v>
      </c>
      <c r="C27" s="3" t="str">
        <v>Male</v>
      </c>
      <c r="D27" s="3" t="str">
        <v>Straw Hat Pirates</v>
      </c>
      <c r="E27" s="3" t="str">
        <v>Swordsman</v>
      </c>
      <c r="F27" s="3">
        <v>1111</v>
      </c>
      <c r="G27" s="3">
        <v>21</v>
      </c>
      <c r="H27" s="3" t="str">
        <v>No</v>
      </c>
      <c r="I27" s="3" t="str">
        <v>Observation + Armament</v>
      </c>
      <c r="J27" s="3" t="str">
        <v>East Blue</v>
      </c>
      <c r="K27" s="3" t="str">
        <v>Active</v>
      </c>
      <c r="L27" s="3" t="str">
        <v>Swordsman</v>
      </c>
      <c r="M27" s="3">
        <v>181</v>
      </c>
      <c r="N27" s="3" t="str">
        <v>Romance Dawn</v>
      </c>
    </row>
    <row r="28" spans="2:14" x14ac:dyDescent="0.3">
      <c r="B28" s="3" t="str">
        <v>Jinbe</v>
      </c>
      <c r="C28" s="3" t="str">
        <v>Male</v>
      </c>
      <c r="D28" s="3" t="str">
        <v>Straw Hat Pirates</v>
      </c>
      <c r="E28" s="3" t="str">
        <v>Helmsman</v>
      </c>
      <c r="F28" s="3">
        <v>1100</v>
      </c>
      <c r="G28" s="3">
        <v>46</v>
      </c>
      <c r="H28" s="3" t="str">
        <v>No</v>
      </c>
      <c r="I28" s="3" t="str">
        <v>Armament</v>
      </c>
      <c r="J28" s="3" t="str">
        <v>Fish-Man Island</v>
      </c>
      <c r="K28" s="3" t="str">
        <v>Active</v>
      </c>
      <c r="L28" s="3" t="str">
        <v>Helmsman</v>
      </c>
      <c r="M28" s="3">
        <v>301</v>
      </c>
      <c r="N28" s="3" t="str">
        <v>Impel Down</v>
      </c>
    </row>
    <row r="29" spans="2:14" x14ac:dyDescent="0.3">
      <c r="B29" s="3" t="str">
        <v>Charlotte Katakuri</v>
      </c>
      <c r="C29" s="3" t="str">
        <v>Male</v>
      </c>
      <c r="D29" s="3" t="str">
        <v>Big Mom Pirates</v>
      </c>
      <c r="E29" s="3" t="str">
        <v>Sweet Commander</v>
      </c>
      <c r="F29" s="3">
        <v>1057</v>
      </c>
      <c r="G29" s="3">
        <v>48</v>
      </c>
      <c r="H29" s="3" t="str">
        <v>Yes</v>
      </c>
      <c r="I29" s="3" t="str">
        <v>All Three</v>
      </c>
      <c r="J29" s="3" t="str">
        <v>South Blue</v>
      </c>
      <c r="K29" s="3" t="str">
        <v>Active</v>
      </c>
      <c r="L29" s="3" t="str">
        <v>Sweet Commander</v>
      </c>
      <c r="M29" s="3">
        <v>509</v>
      </c>
      <c r="N29" s="3" t="str">
        <v>Whole Cake Island</v>
      </c>
    </row>
    <row r="30" spans="2:14" x14ac:dyDescent="0.3">
      <c r="B30" s="3" t="str">
        <v>Sanji</v>
      </c>
      <c r="C30" s="3" t="str">
        <v>Male</v>
      </c>
      <c r="D30" s="3" t="str">
        <v>Straw Hat Pirates</v>
      </c>
      <c r="E30" s="3" t="str">
        <v>Cook</v>
      </c>
      <c r="F30" s="3">
        <v>1032</v>
      </c>
      <c r="G30" s="3">
        <v>21</v>
      </c>
      <c r="H30" s="3" t="str">
        <v>No</v>
      </c>
      <c r="I30" s="3" t="str">
        <v>Observation + Armament</v>
      </c>
      <c r="J30" s="3" t="str">
        <v>North Blue</v>
      </c>
      <c r="K30" s="3" t="str">
        <v>Active</v>
      </c>
      <c r="L30" s="3" t="str">
        <v>Fighter</v>
      </c>
      <c r="M30" s="3">
        <v>180</v>
      </c>
      <c r="N30" s="3" t="str">
        <v>Baratie</v>
      </c>
    </row>
    <row r="31" spans="2:14" x14ac:dyDescent="0.3">
      <c r="B31" s="3" t="str">
        <v>Jack</v>
      </c>
      <c r="C31" s="3" t="str">
        <v>Male</v>
      </c>
      <c r="D31" s="3" t="str">
        <v>Beasts Pirates</v>
      </c>
      <c r="E31" s="3" t="str">
        <v>All-Star</v>
      </c>
      <c r="F31" s="3">
        <v>1000</v>
      </c>
      <c r="G31" s="3">
        <v>28</v>
      </c>
      <c r="H31" s="3" t="str">
        <v>Yes</v>
      </c>
      <c r="I31" s="3">
        <v>0</v>
      </c>
      <c r="J31" s="3" t="str">
        <v>Grand Line</v>
      </c>
      <c r="K31" s="3" t="str">
        <v>Defeated</v>
      </c>
      <c r="L31" s="3" t="str">
        <v>All-Star</v>
      </c>
      <c r="M31" s="3">
        <v>830</v>
      </c>
      <c r="N31" s="3" t="str">
        <v>Zou</v>
      </c>
    </row>
    <row r="32" spans="2:14" x14ac:dyDescent="0.3">
      <c r="B32" s="3" t="str">
        <v>Momonosuke</v>
      </c>
      <c r="C32" s="3" t="str">
        <v>Male</v>
      </c>
      <c r="D32" s="3" t="str">
        <v>Kozuki Family</v>
      </c>
      <c r="E32" s="3" t="str">
        <v>Shogun</v>
      </c>
      <c r="F32" s="3">
        <v>1000</v>
      </c>
      <c r="G32" s="3">
        <v>8</v>
      </c>
      <c r="H32" s="3" t="str">
        <v>Yes</v>
      </c>
      <c r="I32" s="3" t="str">
        <v>Observation + Armament + Conqueror</v>
      </c>
      <c r="J32" s="3" t="str">
        <v>Wano</v>
      </c>
      <c r="K32" s="3" t="str">
        <v>Active</v>
      </c>
      <c r="L32" s="3" t="str">
        <v>Shogun</v>
      </c>
      <c r="M32" s="3">
        <v>110</v>
      </c>
      <c r="N32" s="3" t="str">
        <v>Punk Hazard</v>
      </c>
    </row>
    <row r="33" spans="2:14" x14ac:dyDescent="0.3">
      <c r="B33" s="3" t="str">
        <v>Pica</v>
      </c>
      <c r="C33" s="3" t="str">
        <v>Male</v>
      </c>
      <c r="D33" s="3" t="str">
        <v>Donquixote Pirates</v>
      </c>
      <c r="E33" s="3" t="str">
        <v>Officer</v>
      </c>
      <c r="F33" s="3">
        <v>990</v>
      </c>
      <c r="G33" s="3">
        <v>40</v>
      </c>
      <c r="H33" s="3" t="str">
        <v>Yes</v>
      </c>
      <c r="I33" s="3">
        <v>0</v>
      </c>
      <c r="J33" s="3" t="str">
        <v>North Blue</v>
      </c>
      <c r="K33" s="3" t="str">
        <v>Defeated</v>
      </c>
      <c r="L33" s="3" t="str">
        <v>Officer</v>
      </c>
      <c r="M33" s="3">
        <v>470</v>
      </c>
      <c r="N33" s="3" t="str">
        <v>Dressrosa</v>
      </c>
    </row>
    <row r="34" spans="2:14" x14ac:dyDescent="0.3">
      <c r="B34" s="3" t="str">
        <v>Trebol</v>
      </c>
      <c r="C34" s="3" t="str">
        <v>Male</v>
      </c>
      <c r="D34" s="3" t="str">
        <v>Donquixote Pirates</v>
      </c>
      <c r="E34" s="3" t="str">
        <v>Officer</v>
      </c>
      <c r="F34" s="3">
        <v>990</v>
      </c>
      <c r="G34" s="3">
        <v>49</v>
      </c>
      <c r="H34" s="3" t="str">
        <v>Yes</v>
      </c>
      <c r="I34" s="3">
        <v>0</v>
      </c>
      <c r="J34" s="3" t="str">
        <v>North Blue</v>
      </c>
      <c r="K34" s="3" t="str">
        <v>Defeated</v>
      </c>
      <c r="L34" s="3" t="str">
        <v>Officer</v>
      </c>
      <c r="M34" s="3">
        <v>349</v>
      </c>
      <c r="N34" s="3" t="str">
        <v>Dressrosa</v>
      </c>
    </row>
    <row r="35" spans="2:14" x14ac:dyDescent="0.3">
      <c r="B35" s="3" t="str">
        <v>Diamante</v>
      </c>
      <c r="C35" s="3" t="str">
        <v>Male</v>
      </c>
      <c r="D35" s="3" t="str">
        <v>Donquixote Pirates</v>
      </c>
      <c r="E35" s="3" t="str">
        <v>Officer</v>
      </c>
      <c r="F35" s="3">
        <v>990</v>
      </c>
      <c r="G35" s="3">
        <v>45</v>
      </c>
      <c r="H35" s="3" t="str">
        <v>Yes</v>
      </c>
      <c r="I35" s="3">
        <v>0</v>
      </c>
      <c r="J35" s="3" t="str">
        <v>North Blue</v>
      </c>
      <c r="K35" s="3" t="str">
        <v>Defeated</v>
      </c>
      <c r="L35" s="3" t="str">
        <v>Officer</v>
      </c>
      <c r="M35" s="3">
        <v>525</v>
      </c>
      <c r="N35" s="3" t="str">
        <v>Dressrosa</v>
      </c>
    </row>
    <row r="36" spans="2:14" x14ac:dyDescent="0.3">
      <c r="B36" s="3" t="str">
        <v>Charlotte Smoothie</v>
      </c>
      <c r="C36" s="3" t="str">
        <v>Female</v>
      </c>
      <c r="D36" s="3" t="str">
        <v>Big Mom Pirates</v>
      </c>
      <c r="E36" s="3" t="str">
        <v>Sweet Commander</v>
      </c>
      <c r="F36" s="3">
        <v>932</v>
      </c>
      <c r="G36" s="3">
        <v>35</v>
      </c>
      <c r="H36" s="3" t="str">
        <v>Yes</v>
      </c>
      <c r="I36" s="3">
        <v>0</v>
      </c>
      <c r="J36" s="3" t="str">
        <v>South Blue</v>
      </c>
      <c r="K36" s="3" t="str">
        <v>Active</v>
      </c>
      <c r="L36" s="3" t="str">
        <v>Sweet Commander</v>
      </c>
      <c r="M36" s="3">
        <v>464</v>
      </c>
      <c r="N36" s="3" t="str">
        <v>Whole Cake Island</v>
      </c>
    </row>
    <row r="37" spans="2:14" x14ac:dyDescent="0.3">
      <c r="B37" s="3" t="str">
        <v>Miss All Sunday</v>
      </c>
      <c r="C37" s="3" t="str">
        <v>Female</v>
      </c>
      <c r="D37" s="3" t="str">
        <v>Baroque Works</v>
      </c>
      <c r="E37" s="3" t="str">
        <v>Officer</v>
      </c>
      <c r="F37" s="3">
        <v>930</v>
      </c>
      <c r="G37" s="3">
        <v>28</v>
      </c>
      <c r="H37" s="3" t="str">
        <v>Yes</v>
      </c>
      <c r="I37" s="3">
        <v>0</v>
      </c>
      <c r="J37" s="3" t="str">
        <v>West Blue</v>
      </c>
      <c r="K37" s="3" t="str">
        <v>Active</v>
      </c>
      <c r="L37" s="3" t="str">
        <v>Officer</v>
      </c>
      <c r="M37" s="3">
        <v>188</v>
      </c>
      <c r="N37" s="3" t="str">
        <v>Alabasta</v>
      </c>
    </row>
    <row r="38" spans="2:14" x14ac:dyDescent="0.3">
      <c r="B38" s="3" t="str">
        <v>Nico Robin</v>
      </c>
      <c r="C38" s="3" t="str">
        <v>Female</v>
      </c>
      <c r="D38" s="3" t="str">
        <v>Straw Hat Pirates</v>
      </c>
      <c r="E38" s="3" t="str">
        <v>Archaeologist</v>
      </c>
      <c r="F38" s="3">
        <v>930</v>
      </c>
      <c r="G38" s="3">
        <v>30</v>
      </c>
      <c r="H38" s="3" t="str">
        <v>Yes</v>
      </c>
      <c r="I38" s="3">
        <v>0</v>
      </c>
      <c r="J38" s="3" t="str">
        <v>West Blue</v>
      </c>
      <c r="K38" s="3" t="str">
        <v>Active</v>
      </c>
      <c r="L38" s="3" t="str">
        <v>Officer</v>
      </c>
      <c r="M38" s="3">
        <v>188</v>
      </c>
      <c r="N38" s="3" t="str">
        <v>Alabasta</v>
      </c>
    </row>
    <row r="39" spans="2:14" x14ac:dyDescent="0.3">
      <c r="B39" s="3" t="str">
        <v>Charlotte Cracker</v>
      </c>
      <c r="C39" s="3" t="str">
        <v>Male</v>
      </c>
      <c r="D39" s="3" t="str">
        <v>Big Mom Pirates</v>
      </c>
      <c r="E39" s="3" t="str">
        <v>Sweet Commander</v>
      </c>
      <c r="F39" s="3">
        <v>860</v>
      </c>
      <c r="G39" s="3">
        <v>45</v>
      </c>
      <c r="H39" s="3" t="str">
        <v>Yes</v>
      </c>
      <c r="I39" s="3" t="str">
        <v>Armament + Observation</v>
      </c>
      <c r="J39" s="3" t="str">
        <v>South Blue</v>
      </c>
      <c r="K39" s="3" t="str">
        <v>Active</v>
      </c>
      <c r="L39" s="3" t="str">
        <v>Sweet Commander</v>
      </c>
      <c r="M39" s="3">
        <v>307</v>
      </c>
      <c r="N39" s="3" t="str">
        <v>Whole Cake Island</v>
      </c>
    </row>
    <row r="40" spans="2:14" x14ac:dyDescent="0.3">
      <c r="B40" s="3" t="str">
        <v>Charlotte Perospero</v>
      </c>
      <c r="C40" s="3" t="str">
        <v>Male</v>
      </c>
      <c r="D40" s="3" t="str">
        <v>Big Mom Pirates</v>
      </c>
      <c r="E40" s="3" t="str">
        <v>Minister</v>
      </c>
      <c r="F40" s="3">
        <v>700</v>
      </c>
      <c r="G40" s="3">
        <v>50</v>
      </c>
      <c r="H40" s="3" t="str">
        <v>Yes</v>
      </c>
      <c r="I40" s="3">
        <v>0</v>
      </c>
      <c r="J40" s="3" t="str">
        <v>South Blue</v>
      </c>
      <c r="K40" s="3" t="str">
        <v>Active</v>
      </c>
      <c r="L40" s="3" t="str">
        <v>Minister</v>
      </c>
      <c r="M40" s="3">
        <v>333</v>
      </c>
      <c r="N40" s="3" t="str">
        <v>Whole Cake Island</v>
      </c>
    </row>
    <row r="41" spans="2:14" x14ac:dyDescent="0.3">
      <c r="B41" s="3" t="str">
        <v>Charlotte Snack</v>
      </c>
      <c r="C41" s="3" t="str">
        <v>Male</v>
      </c>
      <c r="D41" s="3" t="str">
        <v>Big Mom Pirates</v>
      </c>
      <c r="E41" s="3" t="str">
        <v>Sweet Commander</v>
      </c>
      <c r="F41" s="3">
        <v>600</v>
      </c>
      <c r="G41" s="3">
        <v>30</v>
      </c>
      <c r="H41" s="3" t="str">
        <v>Yes</v>
      </c>
      <c r="I41" s="3">
        <v>0</v>
      </c>
      <c r="J41" s="3" t="str">
        <v>South Blue</v>
      </c>
      <c r="K41" s="3" t="str">
        <v>Active</v>
      </c>
      <c r="L41" s="3" t="str">
        <v>Sweet Commander</v>
      </c>
      <c r="M41" s="3">
        <v>450</v>
      </c>
      <c r="N41" s="3" t="str">
        <v>Whole Cake Island</v>
      </c>
    </row>
    <row r="42" spans="2:14" x14ac:dyDescent="0.3">
      <c r="B42" s="3" t="str">
        <v>Stussy</v>
      </c>
      <c r="C42" s="3" t="str">
        <v>Female</v>
      </c>
      <c r="D42" s="3" t="str">
        <v>CP0</v>
      </c>
      <c r="E42" s="3" t="str">
        <v>Agent</v>
      </c>
      <c r="F42" s="3">
        <v>570</v>
      </c>
      <c r="G42" s="3">
        <v>36</v>
      </c>
      <c r="H42" s="3" t="str">
        <v>Yes</v>
      </c>
      <c r="I42" s="3">
        <v>0</v>
      </c>
      <c r="J42" s="3" t="str">
        <v>Grand Line</v>
      </c>
      <c r="K42" s="3" t="str">
        <v>Active</v>
      </c>
      <c r="L42" s="3" t="str">
        <v>CP0</v>
      </c>
      <c r="M42" s="3">
        <v>179</v>
      </c>
      <c r="N42" s="3" t="str">
        <v>Whole Cake Island</v>
      </c>
    </row>
    <row r="43" spans="2:14" x14ac:dyDescent="0.3">
      <c r="B43" s="3" t="str">
        <v>Stussy (clone)</v>
      </c>
      <c r="C43" s="3" t="str">
        <v>Female</v>
      </c>
      <c r="D43" s="3" t="str">
        <v>CP0</v>
      </c>
      <c r="E43" s="3" t="str">
        <v>Agent</v>
      </c>
      <c r="F43" s="3">
        <v>570</v>
      </c>
      <c r="G43" s="3">
        <v>36</v>
      </c>
      <c r="H43" s="3" t="str">
        <v>Yes</v>
      </c>
      <c r="I43" s="3">
        <v>0</v>
      </c>
      <c r="J43" s="3" t="str">
        <v>Grand Line</v>
      </c>
      <c r="K43" s="3" t="str">
        <v>Active</v>
      </c>
      <c r="L43" s="3" t="str">
        <v>CP0</v>
      </c>
      <c r="M43" s="3">
        <v>179</v>
      </c>
      <c r="N43" s="3" t="str">
        <v>Egghead</v>
      </c>
    </row>
    <row r="44" spans="2:14" x14ac:dyDescent="0.3">
      <c r="B44" s="3" t="str">
        <v>Portgas D. Ace</v>
      </c>
      <c r="C44" s="3" t="str">
        <v>Male</v>
      </c>
      <c r="D44" s="3" t="str">
        <v>Whitebeard Pirates</v>
      </c>
      <c r="E44" s="3" t="str">
        <v>Commander</v>
      </c>
      <c r="F44" s="3">
        <v>550</v>
      </c>
      <c r="G44" s="3">
        <v>20</v>
      </c>
      <c r="H44" s="3" t="str">
        <v>Yes</v>
      </c>
      <c r="I44" s="3" t="str">
        <v>Armament + Observation</v>
      </c>
      <c r="J44" s="3" t="str">
        <v>South Blue</v>
      </c>
      <c r="K44" s="3" t="str">
        <v>Deceased</v>
      </c>
      <c r="L44" s="3" t="str">
        <v>Commander</v>
      </c>
      <c r="M44" s="3">
        <v>185</v>
      </c>
      <c r="N44" s="3" t="str">
        <v>Alabasta</v>
      </c>
    </row>
    <row r="45" spans="2:14" x14ac:dyDescent="0.3">
      <c r="B45" s="3" t="str">
        <v>Don Chinjao</v>
      </c>
      <c r="C45" s="3" t="str">
        <v>Male</v>
      </c>
      <c r="D45" s="3" t="str">
        <v>Happo Navy</v>
      </c>
      <c r="E45" s="3" t="str">
        <v>Former Leader</v>
      </c>
      <c r="F45" s="3">
        <v>542</v>
      </c>
      <c r="G45" s="3">
        <v>78</v>
      </c>
      <c r="H45" s="3" t="str">
        <v>No</v>
      </c>
      <c r="I45" s="3" t="str">
        <v>Armament + Conqueror</v>
      </c>
      <c r="J45" s="3" t="str">
        <v>West Blue</v>
      </c>
      <c r="K45" s="3" t="str">
        <v>Active</v>
      </c>
      <c r="L45" s="3" t="str">
        <v>Pirate</v>
      </c>
      <c r="M45" s="3">
        <v>520</v>
      </c>
      <c r="N45" s="3" t="str">
        <v>Dressrosa</v>
      </c>
    </row>
    <row r="46" spans="2:14" x14ac:dyDescent="0.3">
      <c r="B46" s="3" t="str">
        <v>Enel</v>
      </c>
      <c r="C46" s="3" t="str">
        <v>Male</v>
      </c>
      <c r="D46" s="3" t="str">
        <v>God's Army</v>
      </c>
      <c r="E46" s="3" t="str">
        <v>God</v>
      </c>
      <c r="F46" s="3">
        <v>500</v>
      </c>
      <c r="G46" s="3">
        <v>39</v>
      </c>
      <c r="H46" s="3" t="str">
        <v>Yes</v>
      </c>
      <c r="I46" s="3" t="str">
        <v>Observation</v>
      </c>
      <c r="J46" s="3" t="str">
        <v>Sky Island</v>
      </c>
      <c r="K46" s="3" t="str">
        <v>Active</v>
      </c>
      <c r="L46" s="3" t="str">
        <v>God</v>
      </c>
      <c r="M46" s="3">
        <v>266</v>
      </c>
      <c r="N46" s="3" t="str">
        <v>Skypiea</v>
      </c>
    </row>
    <row r="47" spans="2:14" x14ac:dyDescent="0.3">
      <c r="B47" s="3" t="str">
        <v>Rob Lucci</v>
      </c>
      <c r="C47" s="3" t="str">
        <v>Male</v>
      </c>
      <c r="D47" s="3" t="str">
        <v>CP0 / World Government</v>
      </c>
      <c r="E47" s="3" t="str">
        <v>Agent</v>
      </c>
      <c r="F47" s="3">
        <v>500</v>
      </c>
      <c r="G47" s="3">
        <v>30</v>
      </c>
      <c r="H47" s="3" t="str">
        <v>No</v>
      </c>
      <c r="I47" s="3" t="str">
        <v>Armament + Observation</v>
      </c>
      <c r="J47" s="3" t="str">
        <v>Grand Line</v>
      </c>
      <c r="K47" s="3" t="str">
        <v>Active</v>
      </c>
      <c r="L47" s="3" t="str">
        <v>CP0</v>
      </c>
      <c r="M47" s="3">
        <v>212</v>
      </c>
      <c r="N47" s="3" t="str">
        <v>Water 7</v>
      </c>
    </row>
    <row r="48" spans="2:14" x14ac:dyDescent="0.3">
      <c r="B48" s="3" t="str">
        <v>Usopp</v>
      </c>
      <c r="C48" s="3" t="str">
        <v>Male</v>
      </c>
      <c r="D48" s="3" t="str">
        <v>Straw Hat Pirates</v>
      </c>
      <c r="E48" s="3" t="str">
        <v>Sniper</v>
      </c>
      <c r="F48" s="3">
        <v>500</v>
      </c>
      <c r="G48" s="3">
        <v>19</v>
      </c>
      <c r="H48" s="3" t="str">
        <v>No</v>
      </c>
      <c r="I48" s="3" t="str">
        <v>Observation</v>
      </c>
      <c r="J48" s="3" t="str">
        <v>East Blue</v>
      </c>
      <c r="K48" s="3" t="str">
        <v>Active</v>
      </c>
      <c r="L48" s="3" t="str">
        <v>Sniper</v>
      </c>
      <c r="M48" s="3">
        <v>176</v>
      </c>
      <c r="N48" s="3" t="str">
        <v>Syrup Village</v>
      </c>
    </row>
    <row r="49" spans="2:14" x14ac:dyDescent="0.3">
      <c r="B49" s="3" t="str">
        <v>Black Maria</v>
      </c>
      <c r="C49" s="3" t="str">
        <v>Female</v>
      </c>
      <c r="D49" s="3" t="str">
        <v>Beasts Pirates</v>
      </c>
      <c r="E49" s="3" t="str">
        <v>Tobiroppo</v>
      </c>
      <c r="F49" s="3">
        <v>480</v>
      </c>
      <c r="G49" s="3">
        <v>29</v>
      </c>
      <c r="H49" s="3" t="str">
        <v>Yes</v>
      </c>
      <c r="I49" s="3">
        <v>0</v>
      </c>
      <c r="J49" s="3" t="str">
        <v>Grand Line</v>
      </c>
      <c r="K49" s="3" t="str">
        <v>Defeated</v>
      </c>
      <c r="L49" s="3" t="str">
        <v>Tobiroppo</v>
      </c>
      <c r="M49" s="3">
        <v>820</v>
      </c>
      <c r="N49" s="3" t="str">
        <v>Wano</v>
      </c>
    </row>
    <row r="50" spans="2:14" x14ac:dyDescent="0.3">
      <c r="B50" s="3" t="str">
        <v>Ulti</v>
      </c>
      <c r="C50" s="3" t="str">
        <v>Female</v>
      </c>
      <c r="D50" s="3" t="str">
        <v>Beasts Pirates</v>
      </c>
      <c r="E50" s="3" t="str">
        <v>Tobiroppo</v>
      </c>
      <c r="F50" s="3">
        <v>400</v>
      </c>
      <c r="G50" s="3">
        <v>22</v>
      </c>
      <c r="H50" s="3" t="str">
        <v>Yes</v>
      </c>
      <c r="I50" s="3" t="str">
        <v>Armament + Observation</v>
      </c>
      <c r="J50" s="3" t="str">
        <v>Grand Line</v>
      </c>
      <c r="K50" s="3" t="str">
        <v>Active</v>
      </c>
      <c r="L50" s="3" t="str">
        <v>Tobiroppo</v>
      </c>
      <c r="M50" s="3">
        <v>173</v>
      </c>
      <c r="N50" s="3" t="str">
        <v>Wano</v>
      </c>
    </row>
    <row r="51" spans="2:14" x14ac:dyDescent="0.3">
      <c r="B51" s="3" t="str">
        <v>Franky</v>
      </c>
      <c r="C51" s="3" t="str">
        <v>Male</v>
      </c>
      <c r="D51" s="3" t="str">
        <v>Straw Hat Pirates</v>
      </c>
      <c r="E51" s="3" t="str">
        <v>Shipwright</v>
      </c>
      <c r="F51" s="3">
        <v>394</v>
      </c>
      <c r="G51" s="3">
        <v>36</v>
      </c>
      <c r="H51" s="3" t="str">
        <v>No</v>
      </c>
      <c r="I51" s="3">
        <v>0</v>
      </c>
      <c r="J51" s="3" t="str">
        <v>South Blue</v>
      </c>
      <c r="K51" s="3" t="str">
        <v>Active</v>
      </c>
      <c r="L51" s="3" t="str">
        <v>Shipwright</v>
      </c>
      <c r="M51" s="3">
        <v>240</v>
      </c>
      <c r="N51" s="3" t="str">
        <v>Water 7</v>
      </c>
    </row>
    <row r="52" spans="2:14" x14ac:dyDescent="0.3">
      <c r="B52" s="3" t="str">
        <v>Brook</v>
      </c>
      <c r="C52" s="3" t="str">
        <v>Male</v>
      </c>
      <c r="D52" s="3" t="str">
        <v>Straw Hat Pirates</v>
      </c>
      <c r="E52" s="3" t="str">
        <v>Musician</v>
      </c>
      <c r="F52" s="3">
        <v>383</v>
      </c>
      <c r="G52" s="3">
        <v>90</v>
      </c>
      <c r="H52" s="3" t="str">
        <v>Yes</v>
      </c>
      <c r="I52" s="3">
        <v>0</v>
      </c>
      <c r="J52" s="3" t="str">
        <v>West Blue</v>
      </c>
      <c r="K52" s="3" t="str">
        <v>Active</v>
      </c>
      <c r="L52" s="3" t="str">
        <v>Musician</v>
      </c>
      <c r="M52" s="3">
        <v>277</v>
      </c>
      <c r="N52" s="3" t="str">
        <v>Thriller Bark</v>
      </c>
    </row>
    <row r="53" spans="2:14" x14ac:dyDescent="0.3">
      <c r="B53" s="3" t="str">
        <v>Pedro</v>
      </c>
      <c r="C53" s="3" t="str">
        <v>Male</v>
      </c>
      <c r="D53" s="3" t="str">
        <v>Mink Tribe</v>
      </c>
      <c r="E53" s="3" t="str">
        <v>Fighter</v>
      </c>
      <c r="F53" s="3">
        <v>382</v>
      </c>
      <c r="G53" s="3">
        <v>32</v>
      </c>
      <c r="H53" s="3" t="str">
        <v>No</v>
      </c>
      <c r="I53" s="3" t="str">
        <v>Armament + Observation</v>
      </c>
      <c r="J53" s="3" t="str">
        <v>Zou</v>
      </c>
      <c r="K53" s="3" t="str">
        <v>Deceased</v>
      </c>
      <c r="L53" s="3" t="str">
        <v>Fighter</v>
      </c>
      <c r="M53" s="3">
        <v>233</v>
      </c>
      <c r="N53" s="3" t="str">
        <v>Zou</v>
      </c>
    </row>
    <row r="54" spans="2:14" x14ac:dyDescent="0.3">
      <c r="B54" s="3" t="str">
        <v>Nami</v>
      </c>
      <c r="C54" s="3" t="str">
        <v>Female</v>
      </c>
      <c r="D54" s="3" t="str">
        <v>Straw Hat Pirates</v>
      </c>
      <c r="E54" s="3" t="str">
        <v>Navigator</v>
      </c>
      <c r="F54" s="3">
        <v>366</v>
      </c>
      <c r="G54" s="3">
        <v>20</v>
      </c>
      <c r="H54" s="3" t="str">
        <v>No</v>
      </c>
      <c r="I54" s="3">
        <v>0</v>
      </c>
      <c r="J54" s="3" t="str">
        <v>East Blue</v>
      </c>
      <c r="K54" s="3" t="str">
        <v>Active</v>
      </c>
      <c r="L54" s="3" t="str">
        <v>Navigator</v>
      </c>
      <c r="M54" s="3">
        <v>170</v>
      </c>
      <c r="N54" s="3" t="str">
        <v>Orange Town</v>
      </c>
    </row>
    <row r="55" spans="2:14" x14ac:dyDescent="0.3">
      <c r="B55" s="3" t="str">
        <v>Scratchmen Apoo</v>
      </c>
      <c r="C55" s="3" t="str">
        <v>Male</v>
      </c>
      <c r="D55" s="3" t="str">
        <v>On Air Pirates</v>
      </c>
      <c r="E55" s="3" t="str">
        <v>Captain</v>
      </c>
      <c r="F55" s="3">
        <v>350</v>
      </c>
      <c r="G55" s="3">
        <v>31</v>
      </c>
      <c r="H55" s="3" t="str">
        <v>Yes</v>
      </c>
      <c r="I55" s="3" t="str">
        <v>Armament + Observation</v>
      </c>
      <c r="J55" s="3" t="str">
        <v>Grand Line</v>
      </c>
      <c r="K55" s="3" t="str">
        <v>Active</v>
      </c>
      <c r="L55" s="3" t="str">
        <v>Supernova</v>
      </c>
      <c r="M55" s="3">
        <v>256</v>
      </c>
      <c r="N55" s="3" t="str">
        <v>Sabaody Archipelago</v>
      </c>
    </row>
    <row r="56" spans="2:14" x14ac:dyDescent="0.3">
      <c r="B56" s="3" t="str">
        <v>Capone Bege</v>
      </c>
      <c r="C56" s="3" t="str">
        <v>Male</v>
      </c>
      <c r="D56" s="3" t="str">
        <v>Fire Tank Pirates</v>
      </c>
      <c r="E56" s="3" t="str">
        <v>Captain</v>
      </c>
      <c r="F56" s="3">
        <v>350</v>
      </c>
      <c r="G56" s="3">
        <v>42</v>
      </c>
      <c r="H56" s="3" t="str">
        <v>Yes</v>
      </c>
      <c r="I56" s="3" t="str">
        <v>Armament + Observation</v>
      </c>
      <c r="J56" s="3" t="str">
        <v>West Blue</v>
      </c>
      <c r="K56" s="3" t="str">
        <v>Active</v>
      </c>
      <c r="L56" s="3" t="str">
        <v>Supernova</v>
      </c>
      <c r="M56" s="3">
        <v>166</v>
      </c>
      <c r="N56" s="3" t="str">
        <v>Sabaody Archipelago</v>
      </c>
    </row>
    <row r="57" spans="2:14" x14ac:dyDescent="0.3">
      <c r="B57" s="3" t="str">
        <v>Cavendish</v>
      </c>
      <c r="C57" s="3" t="str">
        <v>Male</v>
      </c>
      <c r="D57" s="3" t="str">
        <v>Beautiful Pirates</v>
      </c>
      <c r="E57" s="3" t="str">
        <v>Captain</v>
      </c>
      <c r="F57" s="3">
        <v>330</v>
      </c>
      <c r="G57" s="3">
        <v>26</v>
      </c>
      <c r="H57" s="3" t="str">
        <v>No</v>
      </c>
      <c r="I57" s="3">
        <v>0</v>
      </c>
      <c r="J57" s="3" t="str">
        <v>Grand Line</v>
      </c>
      <c r="K57" s="3" t="str">
        <v>Active</v>
      </c>
      <c r="L57" s="3" t="str">
        <v>Supernova</v>
      </c>
      <c r="M57" s="3">
        <v>208</v>
      </c>
      <c r="N57" s="3" t="str">
        <v>Dressrosa</v>
      </c>
    </row>
    <row r="58" spans="2:14" x14ac:dyDescent="0.3">
      <c r="B58" s="3" t="str">
        <v>Gecko Moria</v>
      </c>
      <c r="C58" s="3" t="str">
        <v>Male</v>
      </c>
      <c r="D58" s="3" t="str">
        <v>Thriller Bark Pirates</v>
      </c>
      <c r="E58" s="3" t="str">
        <v>Captain</v>
      </c>
      <c r="F58" s="3">
        <v>320</v>
      </c>
      <c r="G58" s="3">
        <v>50</v>
      </c>
      <c r="H58" s="3" t="str">
        <v>Yes</v>
      </c>
      <c r="I58" s="3">
        <v>0</v>
      </c>
      <c r="J58" s="3" t="str">
        <v>West Blue</v>
      </c>
      <c r="K58" s="3" t="str">
        <v>Active</v>
      </c>
      <c r="L58" s="3" t="str">
        <v>Warlord</v>
      </c>
      <c r="M58" s="3">
        <v>692</v>
      </c>
      <c r="N58" s="3" t="str">
        <v>Thriller Bark</v>
      </c>
    </row>
    <row r="59" spans="2:14" x14ac:dyDescent="0.3">
      <c r="B59" s="3" t="str">
        <v>Basil Hawkins</v>
      </c>
      <c r="C59" s="3" t="str">
        <v>Male</v>
      </c>
      <c r="D59" s="3" t="str">
        <v>Hawkins Pirates</v>
      </c>
      <c r="E59" s="3" t="str">
        <v>Captain</v>
      </c>
      <c r="F59" s="3">
        <v>320</v>
      </c>
      <c r="G59" s="3">
        <v>31</v>
      </c>
      <c r="H59" s="3" t="str">
        <v>Yes</v>
      </c>
      <c r="I59" s="3" t="str">
        <v>Armament + Observation</v>
      </c>
      <c r="J59" s="3" t="str">
        <v>North Blue</v>
      </c>
      <c r="K59" s="3" t="str">
        <v>Defeated</v>
      </c>
      <c r="L59" s="3" t="str">
        <v>Supernova</v>
      </c>
      <c r="M59" s="3">
        <v>210</v>
      </c>
      <c r="N59" s="3" t="str">
        <v>Sabaody Archipelago</v>
      </c>
    </row>
    <row r="60" spans="2:14" x14ac:dyDescent="0.3">
      <c r="B60" s="3" t="str">
        <v>Jewelry Bonney</v>
      </c>
      <c r="C60" s="3" t="str">
        <v>Female</v>
      </c>
      <c r="D60" s="3" t="str">
        <v>Bonney Pirates</v>
      </c>
      <c r="E60" s="3" t="str">
        <v>Captain</v>
      </c>
      <c r="F60" s="3">
        <v>320</v>
      </c>
      <c r="G60" s="3">
        <v>24</v>
      </c>
      <c r="H60" s="3" t="str">
        <v>Yes</v>
      </c>
      <c r="I60" s="3" t="str">
        <v>Observation</v>
      </c>
      <c r="J60" s="3" t="str">
        <v>South Blue</v>
      </c>
      <c r="K60" s="3" t="str">
        <v>Active</v>
      </c>
      <c r="L60" s="3" t="str">
        <v>Supernova</v>
      </c>
      <c r="M60" s="3">
        <v>174</v>
      </c>
      <c r="N60" s="3" t="str">
        <v>Sabaody Archipelago</v>
      </c>
    </row>
    <row r="61" spans="2:14" x14ac:dyDescent="0.3">
      <c r="B61" s="3" t="str">
        <v>Charlotte Daifuku</v>
      </c>
      <c r="C61" s="3" t="str">
        <v>Male</v>
      </c>
      <c r="D61" s="3" t="str">
        <v>Big Mom Pirates</v>
      </c>
      <c r="E61" s="3" t="str">
        <v>Minister</v>
      </c>
      <c r="F61" s="3">
        <v>300</v>
      </c>
      <c r="G61" s="3">
        <v>48</v>
      </c>
      <c r="H61" s="3" t="str">
        <v>Yes</v>
      </c>
      <c r="I61" s="3">
        <v>0</v>
      </c>
      <c r="J61" s="3" t="str">
        <v>South Blue</v>
      </c>
      <c r="K61" s="3" t="str">
        <v>Active</v>
      </c>
      <c r="L61" s="3" t="str">
        <v>Minister</v>
      </c>
      <c r="M61" s="3">
        <v>489</v>
      </c>
      <c r="N61" s="3" t="str">
        <v>Whole Cake Island</v>
      </c>
    </row>
    <row r="62" spans="2:14" x14ac:dyDescent="0.3">
      <c r="B62" s="3" t="str">
        <v>Charlotte Oven</v>
      </c>
      <c r="C62" s="3" t="str">
        <v>Male</v>
      </c>
      <c r="D62" s="3" t="str">
        <v>Big Mom Pirates</v>
      </c>
      <c r="E62" s="3" t="str">
        <v>Minister</v>
      </c>
      <c r="F62" s="3">
        <v>300</v>
      </c>
      <c r="G62" s="3">
        <v>40</v>
      </c>
      <c r="H62" s="3" t="str">
        <v>Yes</v>
      </c>
      <c r="I62" s="3">
        <v>0</v>
      </c>
      <c r="J62" s="3" t="str">
        <v>South Blue</v>
      </c>
      <c r="K62" s="3" t="str">
        <v>Active</v>
      </c>
      <c r="L62" s="3" t="str">
        <v>Minister</v>
      </c>
      <c r="M62" s="3">
        <v>492</v>
      </c>
      <c r="N62" s="3" t="str">
        <v>Whole Cake Island</v>
      </c>
    </row>
    <row r="63" spans="2:14" x14ac:dyDescent="0.3">
      <c r="B63" s="3" t="str">
        <v>Caesar Clown</v>
      </c>
      <c r="C63" s="3" t="str">
        <v>Male</v>
      </c>
      <c r="D63" s="3" t="str">
        <v>Former Punk Hazard Scientist</v>
      </c>
      <c r="E63" s="3" t="str">
        <v>Scientist</v>
      </c>
      <c r="F63" s="3">
        <v>300</v>
      </c>
      <c r="G63" s="3">
        <v>40</v>
      </c>
      <c r="H63" s="3" t="str">
        <v>Yes</v>
      </c>
      <c r="I63" s="3">
        <v>0</v>
      </c>
      <c r="J63" s="3" t="str">
        <v>Grand Line</v>
      </c>
      <c r="K63" s="3" t="str">
        <v>Active</v>
      </c>
      <c r="L63" s="3" t="str">
        <v>Scientist</v>
      </c>
      <c r="M63" s="3">
        <v>309</v>
      </c>
      <c r="N63" s="3" t="str">
        <v>Punk Hazard</v>
      </c>
    </row>
    <row r="64" spans="2:14" x14ac:dyDescent="0.3">
      <c r="B64" s="3" t="str">
        <v>Bartholomew Kuma</v>
      </c>
      <c r="C64" s="3" t="str">
        <v>Male</v>
      </c>
      <c r="D64" s="3" t="str">
        <v>Revolutionary Army / World Government</v>
      </c>
      <c r="E64" s="3" t="str">
        <v>Warlord</v>
      </c>
      <c r="F64" s="3">
        <v>296</v>
      </c>
      <c r="G64" s="3">
        <v>47</v>
      </c>
      <c r="H64" s="3" t="str">
        <v>Yes</v>
      </c>
      <c r="I64" s="3">
        <v>0</v>
      </c>
      <c r="J64" s="3" t="str">
        <v>South Blue</v>
      </c>
      <c r="K64" s="3" t="str">
        <v>Inactive</v>
      </c>
      <c r="L64" s="3" t="str">
        <v>Warlord</v>
      </c>
      <c r="M64" s="3">
        <v>689</v>
      </c>
      <c r="N64" s="3" t="str">
        <v>Sabaody Archipelago</v>
      </c>
    </row>
    <row r="65" spans="2:14" x14ac:dyDescent="0.3">
      <c r="B65" s="3" t="str">
        <v>Fisher Tiger</v>
      </c>
      <c r="C65" s="3" t="str">
        <v>Male</v>
      </c>
      <c r="D65" s="3" t="str">
        <v>Sun Pirates</v>
      </c>
      <c r="E65" s="3" t="str">
        <v>Captain</v>
      </c>
      <c r="F65" s="3">
        <v>230</v>
      </c>
      <c r="G65" s="3">
        <v>48</v>
      </c>
      <c r="H65" s="3" t="str">
        <v>No</v>
      </c>
      <c r="I65" s="3">
        <v>0</v>
      </c>
      <c r="J65" s="3" t="str">
        <v>Grand Line</v>
      </c>
      <c r="K65" s="3" t="str">
        <v>Deceased</v>
      </c>
      <c r="L65" s="3" t="str">
        <v>Captain</v>
      </c>
      <c r="M65" s="3">
        <v>261</v>
      </c>
      <c r="N65" s="3" t="str">
        <v>Fish-Man Island flashback</v>
      </c>
    </row>
    <row r="66" spans="2:14" x14ac:dyDescent="0.3">
      <c r="B66" s="3" t="str">
        <v>X Drake</v>
      </c>
      <c r="C66" s="3" t="str">
        <v>Male</v>
      </c>
      <c r="D66" s="3" t="str">
        <v>Drake Pirates / Marines</v>
      </c>
      <c r="E66" s="3" t="str">
        <v>Captain</v>
      </c>
      <c r="F66" s="3">
        <v>222</v>
      </c>
      <c r="G66" s="3">
        <v>33</v>
      </c>
      <c r="H66" s="3" t="str">
        <v>Yes</v>
      </c>
      <c r="I66" s="3" t="str">
        <v>Armament + Observation</v>
      </c>
      <c r="J66" s="3" t="str">
        <v>North Blue</v>
      </c>
      <c r="K66" s="3" t="str">
        <v>Active</v>
      </c>
      <c r="L66" s="3" t="str">
        <v>Supernova</v>
      </c>
      <c r="M66" s="3">
        <v>233</v>
      </c>
      <c r="N66" s="3" t="str">
        <v>Sabaody Archipelago</v>
      </c>
    </row>
    <row r="67" spans="2:14" x14ac:dyDescent="0.3">
      <c r="B67" s="3" t="str">
        <v>Don Sai</v>
      </c>
      <c r="C67" s="3" t="str">
        <v>Male</v>
      </c>
      <c r="D67" s="3" t="str">
        <v>Happo Navy</v>
      </c>
      <c r="E67" s="3" t="str">
        <v>Leader</v>
      </c>
      <c r="F67" s="3">
        <v>210</v>
      </c>
      <c r="G67" s="3">
        <v>28</v>
      </c>
      <c r="H67" s="3" t="str">
        <v>No</v>
      </c>
      <c r="I67" s="3" t="str">
        <v>Armament + Observation</v>
      </c>
      <c r="J67" s="3" t="str">
        <v>Grand Line</v>
      </c>
      <c r="K67" s="3" t="str">
        <v>Active</v>
      </c>
      <c r="L67" s="3" t="str">
        <v>Commander</v>
      </c>
      <c r="M67" s="3">
        <v>242</v>
      </c>
      <c r="N67" s="3" t="str">
        <v>Dressrosa</v>
      </c>
    </row>
    <row r="68" spans="2:14" x14ac:dyDescent="0.3">
      <c r="B68" s="3" t="str">
        <v>Killer</v>
      </c>
      <c r="C68" s="3" t="str">
        <v>Male</v>
      </c>
      <c r="D68" s="3" t="str">
        <v>Kid Pirates</v>
      </c>
      <c r="E68" s="3" t="str">
        <v>Combatant</v>
      </c>
      <c r="F68" s="3">
        <v>200</v>
      </c>
      <c r="G68" s="3">
        <v>27</v>
      </c>
      <c r="H68" s="3" t="str">
        <v>No</v>
      </c>
      <c r="I68" s="3" t="str">
        <v>Armament + Observation</v>
      </c>
      <c r="J68" s="3" t="str">
        <v>South Blue</v>
      </c>
      <c r="K68" s="3" t="str">
        <v>Active</v>
      </c>
      <c r="L68" s="3" t="str">
        <v>Supernova</v>
      </c>
      <c r="M68" s="3">
        <v>195</v>
      </c>
      <c r="N68" s="3" t="str">
        <v>Sabaody Archipelago</v>
      </c>
    </row>
    <row r="69" spans="2:14" x14ac:dyDescent="0.3">
      <c r="B69" s="3" t="str">
        <v>Bartolomeo</v>
      </c>
      <c r="C69" s="3" t="str">
        <v>Male</v>
      </c>
      <c r="D69" s="3" t="str">
        <v>Barto Club</v>
      </c>
      <c r="E69" s="3" t="str">
        <v>Captain</v>
      </c>
      <c r="F69" s="3">
        <v>200</v>
      </c>
      <c r="G69" s="3">
        <v>24</v>
      </c>
      <c r="H69" s="3" t="str">
        <v>Yes</v>
      </c>
      <c r="I69" s="3">
        <v>0</v>
      </c>
      <c r="J69" s="3" t="str">
        <v>East Blue</v>
      </c>
      <c r="K69" s="3" t="str">
        <v>Active</v>
      </c>
      <c r="L69" s="3" t="str">
        <v>Supernova</v>
      </c>
      <c r="M69" s="3">
        <v>220</v>
      </c>
      <c r="N69" s="3" t="str">
        <v>Dressrosa</v>
      </c>
    </row>
    <row r="70" spans="2:14" x14ac:dyDescent="0.3">
      <c r="B70" s="3" t="str">
        <v>Carrot</v>
      </c>
      <c r="C70" s="3" t="str">
        <v>Female</v>
      </c>
      <c r="D70" s="3" t="str">
        <v>Mink Tribe</v>
      </c>
      <c r="E70" s="3" t="str">
        <v>Warrior</v>
      </c>
      <c r="F70" s="3">
        <v>200</v>
      </c>
      <c r="G70" s="3">
        <v>15</v>
      </c>
      <c r="H70" s="3" t="str">
        <v>No</v>
      </c>
      <c r="I70" s="3" t="str">
        <v>Electro</v>
      </c>
      <c r="J70" s="3" t="str">
        <v>Zou</v>
      </c>
      <c r="K70" s="3" t="str">
        <v>Active</v>
      </c>
      <c r="L70" s="3" t="str">
        <v>Warrior</v>
      </c>
      <c r="M70" s="3">
        <v>161</v>
      </c>
      <c r="N70" s="3" t="str">
        <v>Zou</v>
      </c>
    </row>
    <row r="71" spans="2:14" x14ac:dyDescent="0.3">
      <c r="B71" s="3" t="str">
        <v>Smoker</v>
      </c>
      <c r="C71" s="3" t="str">
        <v>Male</v>
      </c>
      <c r="D71" s="3" t="str">
        <v>Marines</v>
      </c>
      <c r="E71" s="3" t="str">
        <v>Vice Admiral</v>
      </c>
      <c r="F71" s="3">
        <v>200</v>
      </c>
      <c r="G71" s="3">
        <v>36</v>
      </c>
      <c r="H71" s="3" t="str">
        <v>Yes</v>
      </c>
      <c r="I71" s="3" t="str">
        <v>Armament + Observation</v>
      </c>
      <c r="J71" s="3" t="str">
        <v>Grand Line</v>
      </c>
      <c r="K71" s="3" t="str">
        <v>Active</v>
      </c>
      <c r="L71" s="3" t="str">
        <v>Vice Admiral</v>
      </c>
      <c r="M71" s="3">
        <v>209</v>
      </c>
      <c r="N71" s="3" t="str">
        <v>Loguetown</v>
      </c>
    </row>
    <row r="72" spans="2:14" x14ac:dyDescent="0.3">
      <c r="B72" s="3" t="str">
        <v>Orlumbus</v>
      </c>
      <c r="C72" s="3" t="str">
        <v>Male</v>
      </c>
      <c r="D72" s="3" t="str">
        <v>Yonta Maria Grand Fleet</v>
      </c>
      <c r="E72" s="3" t="str">
        <v>Admiral</v>
      </c>
      <c r="F72" s="3">
        <v>148</v>
      </c>
      <c r="G72" s="3">
        <v>42</v>
      </c>
      <c r="H72" s="3" t="str">
        <v>No</v>
      </c>
      <c r="I72" s="3">
        <v>0</v>
      </c>
      <c r="J72" s="3" t="str">
        <v>Grand Line</v>
      </c>
      <c r="K72" s="3" t="str">
        <v>Active</v>
      </c>
      <c r="L72" s="3" t="str">
        <v>Commander</v>
      </c>
      <c r="M72" s="3">
        <v>480</v>
      </c>
      <c r="N72" s="3" t="str">
        <v>Dressrosa</v>
      </c>
    </row>
    <row r="73" spans="2:14" x14ac:dyDescent="0.3">
      <c r="B73" s="3" t="str">
        <v>Vinsmoke Reiju</v>
      </c>
      <c r="C73" s="3" t="str">
        <v>Female</v>
      </c>
      <c r="D73" s="3" t="str">
        <v>Germa 66</v>
      </c>
      <c r="E73" s="3" t="str">
        <v>Princess</v>
      </c>
      <c r="F73" s="3">
        <v>130</v>
      </c>
      <c r="G73" s="3">
        <v>24</v>
      </c>
      <c r="H73" s="3" t="str">
        <v>No</v>
      </c>
      <c r="I73" s="3">
        <v>0</v>
      </c>
      <c r="J73" s="3" t="str">
        <v>North Blue</v>
      </c>
      <c r="K73" s="3" t="str">
        <v>Active</v>
      </c>
      <c r="L73" s="3" t="str">
        <v>Princess</v>
      </c>
      <c r="M73" s="3">
        <v>173</v>
      </c>
      <c r="N73" s="3" t="str">
        <v>Whole Cake Island</v>
      </c>
    </row>
    <row r="74" spans="2:14" x14ac:dyDescent="0.3">
      <c r="B74" s="3" t="str">
        <v>Urouge</v>
      </c>
      <c r="C74" s="3" t="str">
        <v>Male</v>
      </c>
      <c r="D74" s="3" t="str">
        <v>Fallen Monk Pirates</v>
      </c>
      <c r="E74" s="3" t="str">
        <v>Captain</v>
      </c>
      <c r="F74" s="3">
        <v>108</v>
      </c>
      <c r="G74" s="3">
        <v>47</v>
      </c>
      <c r="H74" s="3" t="str">
        <v>Yes</v>
      </c>
      <c r="I74" s="3">
        <v>0</v>
      </c>
      <c r="J74" s="3" t="str">
        <v>Sky Island</v>
      </c>
      <c r="K74" s="3" t="str">
        <v>Active</v>
      </c>
      <c r="L74" s="3" t="str">
        <v>Supernova</v>
      </c>
      <c r="M74" s="3">
        <v>388</v>
      </c>
      <c r="N74" s="3" t="str">
        <v>Sabaody Archipelago</v>
      </c>
    </row>
    <row r="75" spans="2:14" x14ac:dyDescent="0.3">
      <c r="B75" s="3" t="str">
        <v>Baby 5</v>
      </c>
      <c r="C75" s="3" t="str">
        <v>Female</v>
      </c>
      <c r="D75" s="3" t="str">
        <v>Donquixote Pirates</v>
      </c>
      <c r="E75" s="3" t="str">
        <v>Officer</v>
      </c>
      <c r="F75" s="3">
        <v>100</v>
      </c>
      <c r="G75" s="3">
        <v>24</v>
      </c>
      <c r="H75" s="3" t="str">
        <v>Yes</v>
      </c>
      <c r="I75" s="3">
        <v>0</v>
      </c>
      <c r="J75" s="3" t="str">
        <v>North Blue</v>
      </c>
      <c r="K75" s="3" t="str">
        <v>Active</v>
      </c>
      <c r="L75" s="3" t="str">
        <v>Officer</v>
      </c>
      <c r="M75" s="3">
        <v>181</v>
      </c>
      <c r="N75" s="3" t="str">
        <v>Dressrosa</v>
      </c>
    </row>
    <row r="76" spans="2:14" x14ac:dyDescent="0.3">
      <c r="B76" s="3" t="str">
        <v>Tony Tony Chopper</v>
      </c>
      <c r="C76" s="3" t="str">
        <v>Male</v>
      </c>
      <c r="D76" s="3" t="str">
        <v>Straw Hat Pirates</v>
      </c>
      <c r="E76" s="3" t="str">
        <v>Doctor</v>
      </c>
      <c r="F76" s="3">
        <v>100</v>
      </c>
      <c r="G76" s="3">
        <v>17</v>
      </c>
      <c r="H76" s="3" t="str">
        <v>Yes</v>
      </c>
      <c r="I76" s="3">
        <v>0</v>
      </c>
      <c r="J76" s="3" t="str">
        <v>Grand Line</v>
      </c>
      <c r="K76" s="3" t="str">
        <v>Active</v>
      </c>
      <c r="L76" s="3" t="str">
        <v>Doctor</v>
      </c>
      <c r="M76" s="3">
        <v>90</v>
      </c>
      <c r="N76" s="3" t="str">
        <v>Drum Island</v>
      </c>
    </row>
    <row r="77" spans="2:14" x14ac:dyDescent="0.3">
      <c r="B77" s="3" t="str">
        <v>Hajrudin</v>
      </c>
      <c r="C77" s="3" t="str">
        <v>Male</v>
      </c>
      <c r="D77" s="3" t="str">
        <v>New Giant Warrior Pirates</v>
      </c>
      <c r="E77" s="3" t="str">
        <v>Captain</v>
      </c>
      <c r="F77" s="3">
        <v>100</v>
      </c>
      <c r="G77" s="3">
        <v>81</v>
      </c>
      <c r="H77" s="3" t="str">
        <v>No</v>
      </c>
      <c r="I77" s="3">
        <v>0</v>
      </c>
      <c r="J77" s="3" t="str">
        <v>Grand Line</v>
      </c>
      <c r="K77" s="3" t="str">
        <v>Active</v>
      </c>
      <c r="L77" s="3" t="str">
        <v>Captain</v>
      </c>
      <c r="M77" s="3">
        <v>2200</v>
      </c>
      <c r="N77" s="3" t="str">
        <v>Dressrosa</v>
      </c>
    </row>
    <row r="78" spans="2:14" x14ac:dyDescent="0.3">
      <c r="B78" s="3" t="str">
        <v>Inazuma</v>
      </c>
      <c r="C78" s="3" t="str">
        <v>Female</v>
      </c>
      <c r="D78" s="3" t="str">
        <v>Revolutionary Army</v>
      </c>
      <c r="E78" s="3" t="str">
        <v>Commander</v>
      </c>
      <c r="F78" s="3">
        <v>100</v>
      </c>
      <c r="G78" s="3">
        <v>29</v>
      </c>
      <c r="H78" s="3" t="str">
        <v>Yes</v>
      </c>
      <c r="I78" s="3">
        <v>0</v>
      </c>
      <c r="J78" s="3" t="str">
        <v>East Blue</v>
      </c>
      <c r="K78" s="3" t="str">
        <v>Active</v>
      </c>
      <c r="L78" s="3" t="str">
        <v>Commander</v>
      </c>
      <c r="M78" s="3">
        <v>228</v>
      </c>
      <c r="N78" s="3" t="str">
        <v>Impel Down</v>
      </c>
    </row>
    <row r="79" spans="2:14" x14ac:dyDescent="0.3">
      <c r="B79" s="3" t="str">
        <v>Daz Bones (Mr. 1)</v>
      </c>
      <c r="C79" s="3" t="str">
        <v>Male</v>
      </c>
      <c r="D79" s="3" t="str">
        <v>Baroque Works</v>
      </c>
      <c r="E79" s="3" t="str">
        <v>Officer</v>
      </c>
      <c r="F79" s="3">
        <v>75</v>
      </c>
      <c r="G79" s="3">
        <v>31</v>
      </c>
      <c r="H79" s="3" t="str">
        <v>Yes</v>
      </c>
      <c r="I79" s="3">
        <v>0</v>
      </c>
      <c r="J79" s="3" t="str">
        <v>West Blue</v>
      </c>
      <c r="K79" s="3" t="str">
        <v>Active</v>
      </c>
      <c r="L79" s="3" t="str">
        <v>Officer</v>
      </c>
      <c r="M79" s="3">
        <v>212</v>
      </c>
      <c r="N79" s="3" t="str">
        <v>Alabasta</v>
      </c>
    </row>
    <row r="80" spans="2:14" x14ac:dyDescent="0.3">
      <c r="B80" s="3" t="str">
        <v>Hina</v>
      </c>
      <c r="C80" s="3" t="str">
        <v>Female</v>
      </c>
      <c r="D80" s="3" t="str">
        <v>Marines</v>
      </c>
      <c r="E80" s="3" t="str">
        <v>Rear Admiral</v>
      </c>
      <c r="F80" s="3">
        <v>50</v>
      </c>
      <c r="G80" s="3">
        <v>34</v>
      </c>
      <c r="H80" s="3" t="str">
        <v>Yes</v>
      </c>
      <c r="I80" s="3">
        <v>0</v>
      </c>
      <c r="J80" s="3" t="str">
        <v>West Blue</v>
      </c>
      <c r="K80" s="3" t="str">
        <v>Active</v>
      </c>
      <c r="L80" s="3" t="str">
        <v>Rear Admiral</v>
      </c>
      <c r="M80" s="3">
        <v>181</v>
      </c>
      <c r="N80" s="3" t="str">
        <v>Alabasta</v>
      </c>
    </row>
    <row r="81" spans="2:14" x14ac:dyDescent="0.3">
      <c r="B81" s="3" t="str">
        <v>Miss Doublefinger</v>
      </c>
      <c r="C81" s="3" t="str">
        <v>Female</v>
      </c>
      <c r="D81" s="3" t="str">
        <v>Baroque Works</v>
      </c>
      <c r="E81" s="3" t="str">
        <v>Officer</v>
      </c>
      <c r="F81" s="3">
        <v>35</v>
      </c>
      <c r="G81" s="3">
        <v>28</v>
      </c>
      <c r="H81" s="3" t="str">
        <v>Yes</v>
      </c>
      <c r="I81" s="3">
        <v>0</v>
      </c>
      <c r="J81" s="3" t="str">
        <v>West Blue</v>
      </c>
      <c r="K81" s="3" t="str">
        <v>Defeated</v>
      </c>
      <c r="L81" s="3" t="str">
        <v>Officer</v>
      </c>
      <c r="M81" s="3">
        <v>187</v>
      </c>
      <c r="N81" s="3" t="str">
        <v>Alabasta</v>
      </c>
    </row>
    <row r="82" spans="2:14" x14ac:dyDescent="0.3">
      <c r="B82" s="3" t="str">
        <v>Perona</v>
      </c>
      <c r="C82" s="3" t="str">
        <v>Female</v>
      </c>
      <c r="D82" s="3" t="str">
        <v>Thriller Bark Pirates</v>
      </c>
      <c r="E82" s="3" t="str">
        <v>Officer</v>
      </c>
      <c r="F82" s="3">
        <v>32</v>
      </c>
      <c r="G82" s="3">
        <v>25</v>
      </c>
      <c r="H82" s="3" t="str">
        <v>Yes</v>
      </c>
      <c r="I82" s="3">
        <v>0</v>
      </c>
      <c r="J82" s="3" t="str">
        <v>West Blue</v>
      </c>
      <c r="K82" s="3" t="str">
        <v>Active</v>
      </c>
      <c r="L82" s="3" t="str">
        <v>Officer</v>
      </c>
      <c r="M82" s="3">
        <v>160</v>
      </c>
      <c r="N82" s="3" t="str">
        <v>Thriller Bark</v>
      </c>
    </row>
    <row r="83" spans="2:14" x14ac:dyDescent="0.3">
      <c r="B83" s="3" t="str">
        <v>Bentham (Bon Clay)</v>
      </c>
      <c r="C83" s="3" t="str">
        <v>Male</v>
      </c>
      <c r="D83" s="3" t="str">
        <v>Baroque Works</v>
      </c>
      <c r="E83" s="3" t="str">
        <v>Officer</v>
      </c>
      <c r="F83" s="3">
        <v>32</v>
      </c>
      <c r="G83" s="3">
        <v>32</v>
      </c>
      <c r="H83" s="3" t="str">
        <v>Yes</v>
      </c>
      <c r="I83" s="3">
        <v>0</v>
      </c>
      <c r="J83" s="3" t="str">
        <v>Grand Line</v>
      </c>
      <c r="K83" s="3" t="str">
        <v>Active</v>
      </c>
      <c r="L83" s="3" t="str">
        <v>Officer</v>
      </c>
      <c r="M83" s="3">
        <v>238</v>
      </c>
      <c r="N83" s="3" t="str">
        <v>Alabasta</v>
      </c>
    </row>
    <row r="84" spans="2:14" x14ac:dyDescent="0.3">
      <c r="B84" s="3" t="str">
        <v>Tashigi</v>
      </c>
      <c r="C84" s="3" t="str">
        <v>Female</v>
      </c>
      <c r="D84" s="3" t="str">
        <v>Marines</v>
      </c>
      <c r="E84" s="3" t="str">
        <v>Captain</v>
      </c>
      <c r="F84" s="3">
        <v>30</v>
      </c>
      <c r="G84" s="3">
        <v>23</v>
      </c>
      <c r="H84" s="3" t="str">
        <v>No</v>
      </c>
      <c r="I84" s="3" t="str">
        <v>Observation</v>
      </c>
      <c r="J84" s="3" t="str">
        <v>East Blue</v>
      </c>
      <c r="K84" s="3" t="str">
        <v>Active</v>
      </c>
      <c r="L84" s="3" t="str">
        <v>Captain</v>
      </c>
      <c r="M84" s="3">
        <v>170</v>
      </c>
      <c r="N84" s="3" t="str">
        <v>Loguetown</v>
      </c>
    </row>
    <row r="85" spans="2:14" x14ac:dyDescent="0.3">
      <c r="B85" s="3" t="str">
        <v>Foxy</v>
      </c>
      <c r="C85" s="3" t="str">
        <v>Male</v>
      </c>
      <c r="D85" s="3" t="str">
        <v>Foxy Pirates</v>
      </c>
      <c r="E85" s="3" t="str">
        <v>Captain</v>
      </c>
      <c r="F85" s="3">
        <v>24</v>
      </c>
      <c r="G85" s="3">
        <v>38</v>
      </c>
      <c r="H85" s="3" t="str">
        <v>Yes</v>
      </c>
      <c r="I85" s="3">
        <v>0</v>
      </c>
      <c r="J85" s="3" t="str">
        <v>Grand Line</v>
      </c>
      <c r="K85" s="3" t="str">
        <v>Active</v>
      </c>
      <c r="L85" s="3" t="str">
        <v>Captain</v>
      </c>
      <c r="M85" s="3">
        <v>180</v>
      </c>
      <c r="N85" s="3" t="str">
        <v>Long Ring Long Land</v>
      </c>
    </row>
    <row r="86" spans="2:14" x14ac:dyDescent="0.3">
      <c r="B86" s="3" t="str">
        <v>Galdino (Mr. 3)</v>
      </c>
      <c r="C86" s="3" t="str">
        <v>Male</v>
      </c>
      <c r="D86" s="3" t="str">
        <v>Baroque Works</v>
      </c>
      <c r="E86" s="3" t="str">
        <v>Officer</v>
      </c>
      <c r="F86" s="3">
        <v>24</v>
      </c>
      <c r="G86" s="3">
        <v>37</v>
      </c>
      <c r="H86" s="3" t="str">
        <v>Yes</v>
      </c>
      <c r="I86" s="3">
        <v>0</v>
      </c>
      <c r="J86" s="3" t="str">
        <v>Grand Line</v>
      </c>
      <c r="K86" s="3" t="str">
        <v>Active</v>
      </c>
      <c r="L86" s="3" t="str">
        <v>Officer</v>
      </c>
      <c r="M86" s="3">
        <v>179</v>
      </c>
      <c r="N86" s="3" t="str">
        <v>Little Garden</v>
      </c>
    </row>
    <row r="87" spans="2:14" x14ac:dyDescent="0.3">
      <c r="B87" s="3" t="str">
        <v>Hody Jones</v>
      </c>
      <c r="C87" s="3" t="str">
        <v>Male</v>
      </c>
      <c r="D87" s="3" t="str">
        <v>New Fish-Man Pirates</v>
      </c>
      <c r="E87" s="3" t="str">
        <v>Captain</v>
      </c>
      <c r="F87" s="3">
        <v>20</v>
      </c>
      <c r="G87" s="3">
        <v>30</v>
      </c>
      <c r="H87" s="3" t="str">
        <v>Yes</v>
      </c>
      <c r="I87" s="3">
        <v>0</v>
      </c>
      <c r="J87" s="3" t="str">
        <v>Fish-Man Island</v>
      </c>
      <c r="K87" s="3" t="str">
        <v>Defeated</v>
      </c>
      <c r="L87" s="3" t="str">
        <v>Captain</v>
      </c>
      <c r="M87" s="3">
        <v>331</v>
      </c>
      <c r="N87" s="3" t="str">
        <v>Fish-Man Island</v>
      </c>
    </row>
    <row r="88" spans="2:14" x14ac:dyDescent="0.3">
      <c r="B88" s="3" t="str">
        <v>Arlong</v>
      </c>
      <c r="C88" s="3" t="str">
        <v>Male</v>
      </c>
      <c r="D88" s="3" t="str">
        <v>Arlong Pirates</v>
      </c>
      <c r="E88" s="3" t="str">
        <v>Captain</v>
      </c>
      <c r="F88" s="3">
        <v>20</v>
      </c>
      <c r="G88" s="3">
        <v>41</v>
      </c>
      <c r="H88" s="3" t="str">
        <v>No</v>
      </c>
      <c r="I88" s="3">
        <v>0</v>
      </c>
      <c r="J88" s="3" t="str">
        <v>Grand Line</v>
      </c>
      <c r="K88" s="3" t="str">
        <v>Defeated</v>
      </c>
      <c r="L88" s="3" t="str">
        <v>Captain</v>
      </c>
      <c r="M88" s="3">
        <v>263</v>
      </c>
      <c r="N88" s="3" t="str">
        <v>Arlong Park</v>
      </c>
    </row>
    <row r="89" spans="2:14" x14ac:dyDescent="0.3">
      <c r="B89" s="3" t="str">
        <v>Don Krieg</v>
      </c>
      <c r="C89" s="3" t="str">
        <v>Male</v>
      </c>
      <c r="D89" s="3" t="str">
        <v>Krieg Pirates</v>
      </c>
      <c r="E89" s="3" t="str">
        <v>Admiral</v>
      </c>
      <c r="F89" s="3">
        <v>17</v>
      </c>
      <c r="G89" s="3">
        <v>44</v>
      </c>
      <c r="H89" s="3" t="str">
        <v>No</v>
      </c>
      <c r="I89" s="3">
        <v>0</v>
      </c>
      <c r="J89" s="3" t="str">
        <v>East Blue</v>
      </c>
      <c r="K89" s="3" t="str">
        <v>Defeated</v>
      </c>
      <c r="L89" s="3" t="str">
        <v>Pirate</v>
      </c>
      <c r="M89" s="3">
        <v>243</v>
      </c>
      <c r="N89" s="3" t="str">
        <v>Baratie</v>
      </c>
    </row>
    <row r="90" spans="2:14" x14ac:dyDescent="0.3">
      <c r="B90" s="3" t="str">
        <v>Kuro</v>
      </c>
      <c r="C90" s="3" t="str">
        <v>Male</v>
      </c>
      <c r="D90" s="3" t="str">
        <v>Black Cat Pirates</v>
      </c>
      <c r="E90" s="3" t="str">
        <v>Captain</v>
      </c>
      <c r="F90" s="3">
        <v>16</v>
      </c>
      <c r="G90" s="3">
        <v>35</v>
      </c>
      <c r="H90" s="3" t="str">
        <v>No</v>
      </c>
      <c r="I90" s="3">
        <v>0</v>
      </c>
      <c r="J90" s="3" t="str">
        <v>East Blue</v>
      </c>
      <c r="K90" s="3" t="str">
        <v>Unknown</v>
      </c>
      <c r="L90" s="3" t="str">
        <v>Captain</v>
      </c>
      <c r="M90" s="3">
        <v>207</v>
      </c>
      <c r="N90" s="3" t="str">
        <v>Syrup Village</v>
      </c>
    </row>
    <row r="91" spans="2:14" x14ac:dyDescent="0.3">
      <c r="B91" s="3" t="str">
        <v>Miss Merry Christmas</v>
      </c>
      <c r="C91" s="3" t="str">
        <v>Female</v>
      </c>
      <c r="D91" s="3" t="str">
        <v>Baroque Works</v>
      </c>
      <c r="E91" s="3" t="str">
        <v>Officer</v>
      </c>
      <c r="F91" s="3">
        <v>14</v>
      </c>
      <c r="G91" s="3">
        <v>49</v>
      </c>
      <c r="H91" s="3" t="str">
        <v>Yes</v>
      </c>
      <c r="I91" s="3">
        <v>0</v>
      </c>
      <c r="J91" s="3" t="str">
        <v>West Blue</v>
      </c>
      <c r="K91" s="3" t="str">
        <v>Defeated</v>
      </c>
      <c r="L91" s="3" t="str">
        <v>Officer</v>
      </c>
      <c r="M91" s="3">
        <v>156</v>
      </c>
      <c r="N91" s="3" t="str">
        <v>Alabasta</v>
      </c>
    </row>
    <row r="92" spans="2:14" x14ac:dyDescent="0.3">
      <c r="B92" s="3" t="str">
        <v>Gin</v>
      </c>
      <c r="C92" s="3" t="str">
        <v>Male</v>
      </c>
      <c r="D92" s="3" t="str">
        <v>Krieg Pirates</v>
      </c>
      <c r="E92" s="3" t="str">
        <v>Combat Commander</v>
      </c>
      <c r="F92" s="3">
        <v>12</v>
      </c>
      <c r="G92" s="3">
        <v>25</v>
      </c>
      <c r="H92" s="3" t="str">
        <v>No</v>
      </c>
      <c r="I92" s="3">
        <v>0</v>
      </c>
      <c r="J92" s="3" t="str">
        <v>East Blue</v>
      </c>
      <c r="K92" s="3" t="str">
        <v>Unknown</v>
      </c>
      <c r="L92" s="3" t="str">
        <v>Commander</v>
      </c>
      <c r="M92" s="3">
        <v>186</v>
      </c>
      <c r="N92" s="3" t="str">
        <v>Baratie</v>
      </c>
    </row>
    <row r="93" spans="2:14" x14ac:dyDescent="0.3">
      <c r="B93" s="3" t="str">
        <v>Hatchan</v>
      </c>
      <c r="C93" s="3" t="str">
        <v>Male</v>
      </c>
      <c r="D93" s="3" t="str">
        <v>Arlong Pirates</v>
      </c>
      <c r="E93" s="3" t="str">
        <v>Officer</v>
      </c>
      <c r="F93" s="3">
        <v>8</v>
      </c>
      <c r="G93" s="3">
        <v>38</v>
      </c>
      <c r="H93" s="3" t="str">
        <v>No</v>
      </c>
      <c r="I93" s="3">
        <v>0</v>
      </c>
      <c r="J93" s="3" t="str">
        <v>Grand Line</v>
      </c>
      <c r="K93" s="3" t="str">
        <v>Active</v>
      </c>
      <c r="L93" s="3" t="str">
        <v>Officer</v>
      </c>
      <c r="M93" s="3">
        <v>220</v>
      </c>
      <c r="N93" s="3" t="str">
        <v>Arlong Park</v>
      </c>
    </row>
    <row r="94" spans="2:14" x14ac:dyDescent="0.3">
      <c r="B94" s="3" t="str">
        <v>Miss Valentine</v>
      </c>
      <c r="C94" s="3" t="str">
        <v>Female</v>
      </c>
      <c r="D94" s="3" t="str">
        <v>Baroque Works</v>
      </c>
      <c r="E94" s="3" t="str">
        <v>Officer</v>
      </c>
      <c r="F94" s="3">
        <v>7</v>
      </c>
      <c r="G94" s="3">
        <v>26</v>
      </c>
      <c r="H94" s="3" t="str">
        <v>Yes</v>
      </c>
      <c r="I94" s="3">
        <v>0</v>
      </c>
      <c r="J94" s="3" t="str">
        <v>West Blue</v>
      </c>
      <c r="K94" s="3" t="str">
        <v>Active</v>
      </c>
      <c r="L94" s="3" t="str">
        <v>Officer</v>
      </c>
      <c r="M94" s="3">
        <v>180</v>
      </c>
      <c r="N94" s="3" t="str">
        <v>Whiskey Peak</v>
      </c>
    </row>
    <row r="95" spans="2:14" x14ac:dyDescent="0.3">
      <c r="B95" s="3" t="str">
        <v>Alvida</v>
      </c>
      <c r="C95" s="3" t="str">
        <v>Female</v>
      </c>
      <c r="D95" s="3" t="str">
        <v>Alvida Pirates</v>
      </c>
      <c r="E95" s="3" t="str">
        <v>Captain</v>
      </c>
      <c r="F95" s="3">
        <v>5</v>
      </c>
      <c r="G95" s="3">
        <v>25</v>
      </c>
      <c r="H95" s="3" t="str">
        <v>Yes</v>
      </c>
      <c r="I95" s="3">
        <v>0</v>
      </c>
      <c r="J95" s="3" t="str">
        <v>East Blue</v>
      </c>
      <c r="K95" s="3" t="str">
        <v>Active</v>
      </c>
      <c r="L95" s="3" t="str">
        <v>Captain</v>
      </c>
      <c r="M95" s="3">
        <v>198</v>
      </c>
      <c r="N95" s="3" t="str">
        <v>Romance Dawn</v>
      </c>
    </row>
    <row r="96" spans="2:14" x14ac:dyDescent="0.3">
      <c r="B96" s="3" t="str">
        <v>Nojiko</v>
      </c>
      <c r="C96" s="3" t="str">
        <v>Female</v>
      </c>
      <c r="D96" s="3" t="str">
        <v>Cocoyasi Village</v>
      </c>
      <c r="E96" s="3" t="str">
        <v>Farmer</v>
      </c>
      <c r="F96" s="3">
        <v>0</v>
      </c>
      <c r="G96" s="3">
        <v>22</v>
      </c>
      <c r="H96" s="3" t="str">
        <v>No</v>
      </c>
      <c r="I96" s="3">
        <v>0</v>
      </c>
      <c r="J96" s="3" t="str">
        <v>East Blue</v>
      </c>
      <c r="K96" s="3" t="str">
        <v>Active</v>
      </c>
      <c r="L96" s="3" t="str">
        <v>Civilian</v>
      </c>
      <c r="M96" s="3">
        <v>170</v>
      </c>
      <c r="N96" s="3" t="str">
        <v>Cocoyasi Village</v>
      </c>
    </row>
    <row r="97" spans="2:14" x14ac:dyDescent="0.3">
      <c r="B97" s="3" t="str">
        <v>Carmen</v>
      </c>
      <c r="C97" s="3" t="str">
        <v>Female</v>
      </c>
      <c r="D97" s="3" t="str">
        <v>East Blue</v>
      </c>
      <c r="E97" s="3" t="str">
        <v>Chef</v>
      </c>
      <c r="F97" s="3">
        <v>0</v>
      </c>
      <c r="G97" s="3">
        <v>0</v>
      </c>
      <c r="H97" s="3" t="str">
        <v>No</v>
      </c>
      <c r="I97" s="3">
        <v>0</v>
      </c>
      <c r="J97" s="3" t="str">
        <v>East Blue</v>
      </c>
      <c r="K97" s="3" t="str">
        <v>Active</v>
      </c>
      <c r="L97" s="3" t="str">
        <v>Chef</v>
      </c>
      <c r="M97" s="3">
        <v>0</v>
      </c>
      <c r="N97" s="3" t="str">
        <v>Loguetown</v>
      </c>
    </row>
    <row r="98" spans="2:14" x14ac:dyDescent="0.3">
      <c r="B98" s="3" t="str">
        <v>Dadan</v>
      </c>
      <c r="C98" s="3" t="str">
        <v>Female</v>
      </c>
      <c r="D98" s="3" t="str">
        <v>Mountain Bandits</v>
      </c>
      <c r="E98" s="3" t="str">
        <v>Leader</v>
      </c>
      <c r="F98" s="3">
        <v>0</v>
      </c>
      <c r="G98" s="3">
        <v>55</v>
      </c>
      <c r="H98" s="3" t="str">
        <v>No</v>
      </c>
      <c r="I98" s="3">
        <v>0</v>
      </c>
      <c r="J98" s="3" t="str">
        <v>East Blue</v>
      </c>
      <c r="K98" s="3" t="str">
        <v>Active</v>
      </c>
      <c r="L98" s="3" t="str">
        <v>Leader</v>
      </c>
      <c r="M98" s="3">
        <v>212</v>
      </c>
      <c r="N98" s="3" t="str">
        <v>Foosha Village</v>
      </c>
    </row>
    <row r="99" spans="2:14" x14ac:dyDescent="0.3">
      <c r="B99" s="3" t="str">
        <v>Tsuru</v>
      </c>
      <c r="C99" s="3" t="str">
        <v>Female</v>
      </c>
      <c r="D99" s="3" t="str">
        <v>Marines</v>
      </c>
      <c r="E99" s="3" t="str">
        <v>Vice Admiral</v>
      </c>
      <c r="F99" s="3">
        <v>0</v>
      </c>
      <c r="G99" s="3">
        <v>76</v>
      </c>
      <c r="H99" s="3" t="str">
        <v>Yes</v>
      </c>
      <c r="I99" s="3">
        <v>0</v>
      </c>
      <c r="J99" s="3" t="str">
        <v>North Blue</v>
      </c>
      <c r="K99" s="3" t="str">
        <v>Active</v>
      </c>
      <c r="L99" s="3" t="str">
        <v>Vice Admiral</v>
      </c>
      <c r="M99" s="3">
        <v>204</v>
      </c>
      <c r="N99" s="3" t="str">
        <v>Marineford</v>
      </c>
    </row>
    <row r="100" spans="2:14" x14ac:dyDescent="0.3">
      <c r="B100" s="3" t="str">
        <v>Daisy</v>
      </c>
      <c r="C100" s="3" t="str">
        <v>Female</v>
      </c>
      <c r="D100" s="3" t="str">
        <v>Kuja Pirates</v>
      </c>
      <c r="E100" s="3" t="str">
        <v>Warrior</v>
      </c>
      <c r="F100" s="3">
        <v>0</v>
      </c>
      <c r="G100" s="3">
        <v>0</v>
      </c>
      <c r="H100" s="3" t="str">
        <v>No</v>
      </c>
      <c r="I100" s="3">
        <v>0</v>
      </c>
      <c r="J100" s="3" t="str">
        <v>Amazon Lily</v>
      </c>
      <c r="K100" s="3" t="str">
        <v>Active</v>
      </c>
      <c r="L100" s="3" t="str">
        <v>Warrior</v>
      </c>
      <c r="M100" s="3">
        <v>0</v>
      </c>
      <c r="N100" s="3" t="str">
        <v>Amazon Lily</v>
      </c>
    </row>
    <row r="101" spans="2:14" x14ac:dyDescent="0.3">
      <c r="B101" s="3" t="str">
        <v>Sadi</v>
      </c>
      <c r="C101" s="3" t="str">
        <v>Female</v>
      </c>
      <c r="D101" s="3" t="str">
        <v>Impel Down</v>
      </c>
      <c r="E101" s="3" t="str">
        <v>Chief Guard</v>
      </c>
      <c r="F101" s="3">
        <v>0</v>
      </c>
      <c r="G101" s="3">
        <v>0</v>
      </c>
      <c r="H101" s="3" t="str">
        <v>No</v>
      </c>
      <c r="I101" s="3">
        <v>0</v>
      </c>
      <c r="J101" s="3" t="str">
        <v>Grand Line</v>
      </c>
      <c r="K101" s="3" t="str">
        <v>Active</v>
      </c>
      <c r="L101" s="3" t="str">
        <v>Chief Guard</v>
      </c>
      <c r="M101" s="3">
        <v>183</v>
      </c>
      <c r="N101" s="3" t="str">
        <v>Impel Down</v>
      </c>
    </row>
    <row r="102" spans="2:14" x14ac:dyDescent="0.3">
      <c r="B102" s="3" t="str">
        <v>Sugar</v>
      </c>
      <c r="C102" s="3" t="str">
        <v>Female</v>
      </c>
      <c r="D102" s="3" t="str">
        <v>Donquixote Pirates</v>
      </c>
      <c r="E102" s="3" t="str">
        <v>Officer</v>
      </c>
      <c r="F102" s="3">
        <v>0</v>
      </c>
      <c r="G102" s="3">
        <v>22</v>
      </c>
      <c r="H102" s="3" t="str">
        <v>Yes</v>
      </c>
      <c r="I102" s="3">
        <v>0</v>
      </c>
      <c r="J102" s="3" t="str">
        <v>North Blue</v>
      </c>
      <c r="K102" s="3" t="str">
        <v>Active</v>
      </c>
      <c r="L102" s="3" t="str">
        <v>Officer</v>
      </c>
      <c r="M102" s="3">
        <v>110</v>
      </c>
      <c r="N102" s="3" t="str">
        <v>Dressrosa</v>
      </c>
    </row>
    <row r="103" spans="2:14" x14ac:dyDescent="0.3">
      <c r="B103" s="3" t="str">
        <v>Belo Betty</v>
      </c>
      <c r="C103" s="3" t="str">
        <v>Female</v>
      </c>
      <c r="D103" s="3" t="str">
        <v>Revolutionary Army</v>
      </c>
      <c r="E103" s="3" t="str">
        <v>Commander</v>
      </c>
      <c r="F103" s="3">
        <v>0</v>
      </c>
      <c r="G103" s="3">
        <v>34</v>
      </c>
      <c r="H103" s="3" t="str">
        <v>Yes</v>
      </c>
      <c r="I103" s="3">
        <v>0</v>
      </c>
      <c r="J103" s="3" t="str">
        <v>East Blue</v>
      </c>
      <c r="K103" s="3" t="str">
        <v>Active</v>
      </c>
      <c r="L103" s="3" t="str">
        <v>Commander</v>
      </c>
      <c r="M103" s="3">
        <v>196</v>
      </c>
      <c r="N103" s="3" t="str">
        <v>Lulusia</v>
      </c>
    </row>
    <row r="104" spans="2:14" x14ac:dyDescent="0.3">
      <c r="B104" s="3" t="str">
        <v>Van Augur</v>
      </c>
      <c r="C104" s="3" t="str">
        <v>Female</v>
      </c>
      <c r="D104" s="3" t="str">
        <v>Blackbeard Pirates</v>
      </c>
      <c r="E104" s="3" t="str">
        <v>Sniper</v>
      </c>
      <c r="F104" s="3">
        <v>0</v>
      </c>
      <c r="G104" s="3">
        <v>27</v>
      </c>
      <c r="H104" s="3" t="str">
        <v>No</v>
      </c>
      <c r="I104" s="3" t="str">
        <v>Observation</v>
      </c>
      <c r="J104" s="3" t="str">
        <v>North Blue</v>
      </c>
      <c r="K104" s="3" t="str">
        <v>Active</v>
      </c>
      <c r="L104" s="3" t="str">
        <v>Titanic Captain</v>
      </c>
      <c r="M104" s="3">
        <v>340</v>
      </c>
      <c r="N104" s="3" t="str">
        <v>Jaya</v>
      </c>
    </row>
    <row r="105" spans="2:14" x14ac:dyDescent="0.3">
      <c r="B105" s="3" t="str">
        <v>Conis</v>
      </c>
      <c r="C105" s="3" t="str">
        <v>Female</v>
      </c>
      <c r="D105" s="3" t="str">
        <v>Skypiea</v>
      </c>
      <c r="E105" s="3" t="str">
        <v>Citizen</v>
      </c>
      <c r="F105" s="3">
        <v>0</v>
      </c>
      <c r="G105" s="3">
        <v>21</v>
      </c>
      <c r="H105" s="3" t="str">
        <v>No</v>
      </c>
      <c r="I105" s="3">
        <v>0</v>
      </c>
      <c r="J105" s="3" t="str">
        <v>Sky Island</v>
      </c>
      <c r="K105" s="3" t="str">
        <v>Active</v>
      </c>
      <c r="L105" s="3" t="str">
        <v>Civilian</v>
      </c>
      <c r="M105" s="3">
        <v>176</v>
      </c>
      <c r="N105" s="3" t="str">
        <v>Skypiea</v>
      </c>
    </row>
    <row r="106" spans="2:14" x14ac:dyDescent="0.3">
      <c r="B106" s="3" t="str">
        <v>Spandam</v>
      </c>
      <c r="C106" s="3" t="str">
        <v>Male</v>
      </c>
      <c r="D106" s="3" t="str">
        <v>World Government</v>
      </c>
      <c r="E106" s="3" t="str">
        <v>Director</v>
      </c>
      <c r="F106" s="3">
        <v>0</v>
      </c>
      <c r="G106" s="3">
        <v>39</v>
      </c>
      <c r="H106" s="3" t="str">
        <v>No</v>
      </c>
      <c r="I106" s="3">
        <v>0</v>
      </c>
      <c r="J106" s="3" t="str">
        <v>Grand Line</v>
      </c>
      <c r="K106" s="3" t="str">
        <v>Active</v>
      </c>
      <c r="L106" s="3" t="str">
        <v>Government</v>
      </c>
      <c r="M106" s="3">
        <v>192</v>
      </c>
      <c r="N106" s="3" t="str">
        <v>Water 7</v>
      </c>
    </row>
    <row r="107" spans="2:14" x14ac:dyDescent="0.3">
      <c r="B107" s="3" t="str">
        <v>Binz</v>
      </c>
      <c r="C107" s="3" t="str">
        <v>Female</v>
      </c>
      <c r="D107" s="3" t="str">
        <v>Neo Marines</v>
      </c>
      <c r="E107" s="3" t="str">
        <v>Officer</v>
      </c>
      <c r="F107" s="3">
        <v>0</v>
      </c>
      <c r="G107" s="3">
        <v>0</v>
      </c>
      <c r="H107" s="3" t="str">
        <v>Yes</v>
      </c>
      <c r="I107" s="3">
        <v>0</v>
      </c>
      <c r="J107" s="3" t="str">
        <v>South Blue</v>
      </c>
      <c r="K107" s="3" t="str">
        <v>Active</v>
      </c>
      <c r="L107" s="3" t="str">
        <v>Officer</v>
      </c>
      <c r="M107" s="3">
        <v>0</v>
      </c>
      <c r="N107" s="3" t="str">
        <v>Film Z</v>
      </c>
    </row>
    <row r="108" spans="2:14" x14ac:dyDescent="0.3">
      <c r="B108" s="3" t="str">
        <v>Koala</v>
      </c>
      <c r="C108" s="3" t="str">
        <v>Female</v>
      </c>
      <c r="D108" s="3" t="str">
        <v>Revolutionary Army</v>
      </c>
      <c r="E108" s="3" t="str">
        <v>Officer</v>
      </c>
      <c r="F108" s="3">
        <v>0</v>
      </c>
      <c r="G108" s="3">
        <v>23</v>
      </c>
      <c r="H108" s="3" t="str">
        <v>No</v>
      </c>
      <c r="I108" s="3" t="str">
        <v>Armament + Observation</v>
      </c>
      <c r="J108" s="3" t="str">
        <v>East Blue</v>
      </c>
      <c r="K108" s="3" t="str">
        <v>Active</v>
      </c>
      <c r="L108" s="3" t="str">
        <v>Officer</v>
      </c>
      <c r="M108" s="3">
        <v>160</v>
      </c>
      <c r="N108" s="3" t="str">
        <v>Dressrosa</v>
      </c>
    </row>
    <row r="109" spans="2:14" x14ac:dyDescent="0.3">
      <c r="B109" s="3" t="str">
        <v>Atlas</v>
      </c>
      <c r="C109" s="3" t="str">
        <v>Female</v>
      </c>
      <c r="D109" s="3" t="str">
        <v>Vegapunk / Satellite</v>
      </c>
      <c r="E109" s="3" t="str">
        <v>Scientist</v>
      </c>
      <c r="F109" s="3">
        <v>0</v>
      </c>
      <c r="G109" s="3">
        <v>24</v>
      </c>
      <c r="H109" s="3" t="str">
        <v>No</v>
      </c>
      <c r="I109" s="3">
        <v>0</v>
      </c>
      <c r="J109" s="3" t="str">
        <v>Grand Line</v>
      </c>
      <c r="K109" s="3" t="str">
        <v>Active</v>
      </c>
      <c r="L109" s="3" t="str">
        <v>Scientist</v>
      </c>
      <c r="M109" s="3">
        <v>0</v>
      </c>
      <c r="N109" s="3" t="str">
        <v>Egghead</v>
      </c>
    </row>
    <row r="110" spans="2:14" x14ac:dyDescent="0.3">
      <c r="B110" s="3" t="str">
        <v>Charlotte Brulee</v>
      </c>
      <c r="C110" s="3" t="str">
        <v>Female</v>
      </c>
      <c r="D110" s="3" t="str">
        <v>Big Mom Pirates</v>
      </c>
      <c r="E110" s="3" t="str">
        <v>Officer</v>
      </c>
      <c r="F110" s="3">
        <v>0</v>
      </c>
      <c r="G110" s="3">
        <v>43</v>
      </c>
      <c r="H110" s="3" t="str">
        <v>Yes</v>
      </c>
      <c r="I110" s="3">
        <v>0</v>
      </c>
      <c r="J110" s="3" t="str">
        <v>South Blue</v>
      </c>
      <c r="K110" s="3" t="str">
        <v>Active</v>
      </c>
      <c r="L110" s="3" t="str">
        <v>Officer</v>
      </c>
      <c r="M110" s="3">
        <v>350</v>
      </c>
      <c r="N110" s="3" t="str">
        <v>Whole Cake Island</v>
      </c>
    </row>
    <row r="111" spans="2:14" x14ac:dyDescent="0.3">
      <c r="B111" s="3" t="str">
        <v>Kujaku</v>
      </c>
      <c r="C111" s="3" t="str">
        <v>Female</v>
      </c>
      <c r="D111" s="3" t="str">
        <v>Marines</v>
      </c>
      <c r="E111" s="3" t="str">
        <v>Rear Admiral</v>
      </c>
      <c r="F111" s="3">
        <v>0</v>
      </c>
      <c r="G111" s="3">
        <v>0</v>
      </c>
      <c r="H111" s="3" t="str">
        <v>Yes</v>
      </c>
      <c r="I111" s="3">
        <v>0</v>
      </c>
      <c r="J111" s="3" t="str">
        <v>Grand Line</v>
      </c>
      <c r="K111" s="3" t="str">
        <v>Active</v>
      </c>
      <c r="L111" s="3" t="str">
        <v>Rear Admiral</v>
      </c>
      <c r="M111" s="3">
        <v>180</v>
      </c>
      <c r="N111" s="3" t="str">
        <v>Egghead</v>
      </c>
    </row>
    <row r="112" spans="2:14" x14ac:dyDescent="0.3">
      <c r="B112" s="3" t="str">
        <v>Gion (Momousagi)</v>
      </c>
      <c r="C112" s="3" t="str">
        <v>Female</v>
      </c>
      <c r="D112" s="3" t="str">
        <v>Marines</v>
      </c>
      <c r="E112" s="3" t="str">
        <v>Vice Admiral</v>
      </c>
      <c r="F112" s="3">
        <v>0</v>
      </c>
      <c r="G112" s="3">
        <v>56</v>
      </c>
      <c r="H112" s="3" t="str">
        <v>No</v>
      </c>
      <c r="I112" s="3" t="str">
        <v>Armament + Observation</v>
      </c>
      <c r="J112" s="3" t="str">
        <v>Grand Line</v>
      </c>
      <c r="K112" s="3" t="str">
        <v>Active</v>
      </c>
      <c r="L112" s="3" t="str">
        <v>Vice Admiral</v>
      </c>
      <c r="M112" s="3">
        <v>185</v>
      </c>
      <c r="N112" s="3" t="str">
        <v>Reverie</v>
      </c>
    </row>
    <row r="113" spans="2:14" x14ac:dyDescent="0.3">
      <c r="B113" s="3" t="str">
        <v>Kurozumi Higurashi</v>
      </c>
      <c r="C113" s="3" t="str">
        <v>Female</v>
      </c>
      <c r="D113" s="3" t="str">
        <v>Kurozumi Family</v>
      </c>
      <c r="E113" s="3" t="str">
        <v>Witch</v>
      </c>
      <c r="F113" s="3">
        <v>0</v>
      </c>
      <c r="G113" s="3">
        <v>0</v>
      </c>
      <c r="H113" s="3" t="str">
        <v>Yes</v>
      </c>
      <c r="I113" s="3">
        <v>0</v>
      </c>
      <c r="J113" s="3" t="str">
        <v>Wano</v>
      </c>
      <c r="K113" s="3" t="str">
        <v>Deceased</v>
      </c>
      <c r="L113" s="3" t="str">
        <v>Witch</v>
      </c>
      <c r="M113" s="3">
        <v>180</v>
      </c>
      <c r="N113" s="3" t="str">
        <v>Wano flashback</v>
      </c>
    </row>
    <row r="114" spans="2:14" x14ac:dyDescent="0.3">
      <c r="B114" s="3" t="str">
        <v>Catarina Devon</v>
      </c>
      <c r="C114" s="3" t="str">
        <v>Female</v>
      </c>
      <c r="D114" s="3" t="str">
        <v>Blackbeard Pirates</v>
      </c>
      <c r="E114" s="3" t="str">
        <v>Titanic Captain</v>
      </c>
      <c r="F114" s="3">
        <v>0</v>
      </c>
      <c r="G114" s="3">
        <v>36</v>
      </c>
      <c r="H114" s="3" t="str">
        <v>Yes</v>
      </c>
      <c r="I114" s="3">
        <v>0</v>
      </c>
      <c r="J114" s="3" t="str">
        <v>Grand Line</v>
      </c>
      <c r="K114" s="3" t="str">
        <v>Active</v>
      </c>
      <c r="L114" s="3" t="str">
        <v>Titanic Captain</v>
      </c>
      <c r="M114" s="3">
        <v>361</v>
      </c>
      <c r="N114" s="3" t="str">
        <v>Marineford</v>
      </c>
    </row>
    <row r="115" spans="2:14" x14ac:dyDescent="0.3">
      <c r="B115" s="3" t="str">
        <v>Bonney's mother Ginny</v>
      </c>
      <c r="C115" s="3" t="str">
        <v>Female</v>
      </c>
      <c r="D115" s="3" t="str">
        <v>Revolutionary Army</v>
      </c>
      <c r="E115" s="3" t="str">
        <v>Officer</v>
      </c>
      <c r="F115" s="3">
        <v>0</v>
      </c>
      <c r="G115" s="3">
        <v>0</v>
      </c>
      <c r="H115" s="3" t="str">
        <v>No</v>
      </c>
      <c r="I115" s="3">
        <v>0</v>
      </c>
      <c r="J115" s="3" t="str">
        <v>South Blue</v>
      </c>
      <c r="K115" s="3" t="str">
        <v>Deceased</v>
      </c>
      <c r="L115" s="3" t="str">
        <v>Officer</v>
      </c>
      <c r="M115" s="3">
        <v>0</v>
      </c>
      <c r="N115" s="3" t="str">
        <v>God Valley flashback</v>
      </c>
    </row>
    <row r="116" spans="2:14" x14ac:dyDescent="0.3">
      <c r="B116" s="3" t="str">
        <v>Fukuro</v>
      </c>
      <c r="C116" s="3" t="str">
        <v>Male</v>
      </c>
      <c r="D116" s="3" t="str">
        <v>CP9</v>
      </c>
      <c r="E116" s="3" t="str">
        <v>Agent</v>
      </c>
      <c r="F116" s="3">
        <v>0</v>
      </c>
      <c r="G116" s="3">
        <v>29</v>
      </c>
      <c r="H116" s="3" t="str">
        <v>No</v>
      </c>
      <c r="I116" s="3">
        <v>0</v>
      </c>
      <c r="J116" s="3" t="str">
        <v>Grand Line</v>
      </c>
      <c r="K116" s="3" t="str">
        <v>Active</v>
      </c>
      <c r="L116" s="3" t="str">
        <v>CP9</v>
      </c>
      <c r="M116" s="3">
        <v>331</v>
      </c>
      <c r="N116" s="3" t="str">
        <v>Water 7</v>
      </c>
    </row>
    <row r="117" spans="2:14" x14ac:dyDescent="0.3">
      <c r="B117" s="3" t="str">
        <v>Zephyr's wife</v>
      </c>
      <c r="C117" s="3" t="str">
        <v>Female</v>
      </c>
      <c r="D117" s="3" t="str">
        <v>Marine family</v>
      </c>
      <c r="E117" s="3" t="str">
        <v>Civilian</v>
      </c>
      <c r="F117" s="3">
        <v>0</v>
      </c>
      <c r="G117" s="3">
        <v>0</v>
      </c>
      <c r="H117" s="3" t="str">
        <v>No</v>
      </c>
      <c r="I117" s="3">
        <v>0</v>
      </c>
      <c r="J117" s="3" t="str">
        <v>Grand Line</v>
      </c>
      <c r="K117" s="3" t="str">
        <v>Deceased</v>
      </c>
      <c r="L117" s="3" t="str">
        <v>Civilian</v>
      </c>
      <c r="M117" s="3">
        <v>0</v>
      </c>
      <c r="N117" s="3" t="str">
        <v>Film Z</v>
      </c>
    </row>
    <row r="118" spans="2:14" x14ac:dyDescent="0.3">
      <c r="B118" s="3" t="str">
        <v>Kozuki Toki</v>
      </c>
      <c r="C118" s="3" t="str">
        <v>Female</v>
      </c>
      <c r="D118" s="3" t="str">
        <v>Kozuki Family</v>
      </c>
      <c r="E118" s="3" t="str">
        <v>Former Princess</v>
      </c>
      <c r="F118" s="3">
        <v>0</v>
      </c>
      <c r="G118" s="3">
        <v>0</v>
      </c>
      <c r="H118" s="3" t="str">
        <v>Yes</v>
      </c>
      <c r="I118" s="3">
        <v>0</v>
      </c>
      <c r="J118" s="3" t="str">
        <v>Grand Line</v>
      </c>
      <c r="K118" s="3" t="str">
        <v>Deceased</v>
      </c>
      <c r="L118" s="3" t="str">
        <v>Princess</v>
      </c>
      <c r="M118" s="3">
        <v>190</v>
      </c>
      <c r="N118" s="3" t="str">
        <v>Wano flashback</v>
      </c>
    </row>
    <row r="119" spans="2:14" x14ac:dyDescent="0.3">
      <c r="B119" s="3" t="str">
        <v>Saldeath</v>
      </c>
      <c r="C119" s="3" t="str">
        <v>Female</v>
      </c>
      <c r="D119" s="3" t="str">
        <v>Impel Down</v>
      </c>
      <c r="E119" s="3" t="str">
        <v>Blue Gorillas Captain</v>
      </c>
      <c r="F119" s="3">
        <v>0</v>
      </c>
      <c r="G119" s="3">
        <v>0</v>
      </c>
      <c r="H119" s="3" t="str">
        <v>No</v>
      </c>
      <c r="I119" s="3">
        <v>0</v>
      </c>
      <c r="J119" s="3" t="str">
        <v>Grand Line</v>
      </c>
      <c r="K119" s="3" t="str">
        <v>Active</v>
      </c>
      <c r="L119" s="3" t="str">
        <v>Captain</v>
      </c>
      <c r="M119" s="3">
        <v>0</v>
      </c>
      <c r="N119" s="3" t="str">
        <v>Impel Down</v>
      </c>
    </row>
    <row r="120" spans="2:14" x14ac:dyDescent="0.3">
      <c r="B120" s="3" t="str">
        <v>York</v>
      </c>
      <c r="C120" s="3" t="str">
        <v>Female</v>
      </c>
      <c r="D120" s="3" t="str">
        <v>Vegapunk / Satellite</v>
      </c>
      <c r="E120" s="3" t="str">
        <v>Scientist</v>
      </c>
      <c r="F120" s="3">
        <v>0</v>
      </c>
      <c r="G120" s="3">
        <v>24</v>
      </c>
      <c r="H120" s="3" t="str">
        <v>No</v>
      </c>
      <c r="I120" s="3">
        <v>0</v>
      </c>
      <c r="J120" s="3" t="str">
        <v>Grand Line</v>
      </c>
      <c r="K120" s="3" t="str">
        <v>Active</v>
      </c>
      <c r="L120" s="3" t="str">
        <v>Scientist</v>
      </c>
      <c r="M120" s="3">
        <v>0</v>
      </c>
      <c r="N120" s="3" t="str">
        <v>Egghead</v>
      </c>
    </row>
    <row r="121" spans="2:14" x14ac:dyDescent="0.3">
      <c r="B121" s="3" t="str">
        <v>Charlotte Galette</v>
      </c>
      <c r="C121" s="3" t="str">
        <v>Female</v>
      </c>
      <c r="D121" s="3" t="str">
        <v>Big Mom Pirates</v>
      </c>
      <c r="E121" s="3" t="str">
        <v>Officer</v>
      </c>
      <c r="F121" s="3">
        <v>0</v>
      </c>
      <c r="G121" s="3">
        <v>31</v>
      </c>
      <c r="H121" s="3" t="str">
        <v>Yes</v>
      </c>
      <c r="I121" s="3">
        <v>0</v>
      </c>
      <c r="J121" s="3" t="str">
        <v>South Blue</v>
      </c>
      <c r="K121" s="3" t="str">
        <v>Active</v>
      </c>
      <c r="L121" s="3" t="str">
        <v>Officer</v>
      </c>
      <c r="M121" s="3">
        <v>158</v>
      </c>
      <c r="N121" s="3" t="str">
        <v>Whole Cake Island</v>
      </c>
    </row>
    <row r="122" spans="2:14" x14ac:dyDescent="0.3">
      <c r="B122" s="3" t="str">
        <v>Aphelandra</v>
      </c>
      <c r="C122" s="3" t="str">
        <v>Female</v>
      </c>
      <c r="D122" s="3" t="str">
        <v>Kuja Pirates</v>
      </c>
      <c r="E122" s="3" t="str">
        <v>Warrior</v>
      </c>
      <c r="F122" s="3">
        <v>0</v>
      </c>
      <c r="G122" s="3">
        <v>0</v>
      </c>
      <c r="H122" s="3" t="str">
        <v>No</v>
      </c>
      <c r="I122" s="3">
        <v>0</v>
      </c>
      <c r="J122" s="3" t="str">
        <v>Amazon Lily</v>
      </c>
      <c r="K122" s="3" t="str">
        <v>Active</v>
      </c>
      <c r="L122" s="3" t="str">
        <v>Warrior</v>
      </c>
      <c r="M122" s="3">
        <v>0</v>
      </c>
      <c r="N122" s="3" t="str">
        <v>Amazon Lily</v>
      </c>
    </row>
    <row r="123" spans="2:14" x14ac:dyDescent="0.3">
      <c r="B123" s="3" t="str">
        <v>Makino</v>
      </c>
      <c r="C123" s="3" t="str">
        <v>Female</v>
      </c>
      <c r="D123" s="3" t="str">
        <v>Foosha Village</v>
      </c>
      <c r="E123" s="3" t="str">
        <v>Bartender</v>
      </c>
      <c r="F123" s="3">
        <v>0</v>
      </c>
      <c r="G123" s="3">
        <v>0</v>
      </c>
      <c r="H123" s="3" t="str">
        <v>No</v>
      </c>
      <c r="I123" s="3">
        <v>0</v>
      </c>
      <c r="J123" s="3" t="str">
        <v>East Blue</v>
      </c>
      <c r="K123" s="3" t="str">
        <v>Active</v>
      </c>
      <c r="L123" s="3" t="str">
        <v>Bartender</v>
      </c>
      <c r="M123" s="3">
        <v>166</v>
      </c>
      <c r="N123" s="3" t="str">
        <v>Romance Dawn</v>
      </c>
    </row>
    <row r="124" spans="2:14" x14ac:dyDescent="0.3">
      <c r="B124" s="3" t="str">
        <v>Aisa</v>
      </c>
      <c r="C124" s="3" t="str">
        <v>Female</v>
      </c>
      <c r="D124" s="3" t="str">
        <v>Shandia</v>
      </c>
      <c r="E124" s="3" t="str">
        <v>Shandia Warrior</v>
      </c>
      <c r="F124" s="3">
        <v>0</v>
      </c>
      <c r="G124" s="3">
        <v>10</v>
      </c>
      <c r="H124" s="3" t="str">
        <v>No</v>
      </c>
      <c r="I124" s="3" t="str">
        <v>Observation</v>
      </c>
      <c r="J124" s="3" t="str">
        <v>Sky Island</v>
      </c>
      <c r="K124" s="3" t="str">
        <v>Active</v>
      </c>
      <c r="L124" s="3" t="str">
        <v>Warrior</v>
      </c>
      <c r="M124" s="3">
        <v>140</v>
      </c>
      <c r="N124" s="3" t="str">
        <v>Skypiea</v>
      </c>
    </row>
    <row r="125" spans="2:14" x14ac:dyDescent="0.3">
      <c r="B125" s="3" t="str">
        <v>Sweet Pea</v>
      </c>
      <c r="C125" s="3" t="str">
        <v>Female</v>
      </c>
      <c r="D125" s="3" t="str">
        <v>Kuja Pirates</v>
      </c>
      <c r="E125" s="3" t="str">
        <v>Warrior</v>
      </c>
      <c r="F125" s="3">
        <v>0</v>
      </c>
      <c r="G125" s="3">
        <v>0</v>
      </c>
      <c r="H125" s="3" t="str">
        <v>No</v>
      </c>
      <c r="I125" s="3">
        <v>0</v>
      </c>
      <c r="J125" s="3" t="str">
        <v>Amazon Lily</v>
      </c>
      <c r="K125" s="3" t="str">
        <v>Active</v>
      </c>
      <c r="L125" s="3" t="str">
        <v>Warrior</v>
      </c>
      <c r="M125" s="3">
        <v>0</v>
      </c>
      <c r="N125" s="3" t="str">
        <v>Amazon Lily</v>
      </c>
    </row>
    <row r="126" spans="2:14" x14ac:dyDescent="0.3">
      <c r="B126" s="3" t="str">
        <v>Charlotte Pudding</v>
      </c>
      <c r="C126" s="3" t="str">
        <v>Female</v>
      </c>
      <c r="D126" s="3" t="str">
        <v>Big Mom Pirates</v>
      </c>
      <c r="E126" s="3" t="str">
        <v>Minister</v>
      </c>
      <c r="F126" s="3">
        <v>0</v>
      </c>
      <c r="G126" s="3">
        <v>16</v>
      </c>
      <c r="H126" s="3" t="str">
        <v>Yes</v>
      </c>
      <c r="I126" s="3">
        <v>0</v>
      </c>
      <c r="J126" s="3" t="str">
        <v>South Blue</v>
      </c>
      <c r="K126" s="3" t="str">
        <v>Active</v>
      </c>
      <c r="L126" s="3" t="str">
        <v>Minister</v>
      </c>
      <c r="M126" s="3">
        <v>166</v>
      </c>
      <c r="N126" s="3" t="str">
        <v>Whole Cake Island</v>
      </c>
    </row>
    <row r="127" spans="2:14" x14ac:dyDescent="0.3">
      <c r="B127" s="3" t="str">
        <v>Marguerite</v>
      </c>
      <c r="C127" s="3" t="str">
        <v>Female</v>
      </c>
      <c r="D127" s="3" t="str">
        <v>Kuja Pirates</v>
      </c>
      <c r="E127" s="3" t="str">
        <v>Warrior</v>
      </c>
      <c r="F127" s="3">
        <v>0</v>
      </c>
      <c r="G127" s="3">
        <v>18</v>
      </c>
      <c r="H127" s="3" t="str">
        <v>No</v>
      </c>
      <c r="I127" s="3">
        <v>0</v>
      </c>
      <c r="J127" s="3" t="str">
        <v>Amazon Lily</v>
      </c>
      <c r="K127" s="3" t="str">
        <v>Active</v>
      </c>
      <c r="L127" s="3" t="str">
        <v>Warrior</v>
      </c>
      <c r="M127" s="3">
        <v>178</v>
      </c>
      <c r="N127" s="3" t="str">
        <v>Amazon Lily</v>
      </c>
    </row>
    <row r="128" spans="2:14" x14ac:dyDescent="0.3">
      <c r="B128" s="3" t="str">
        <v>Curly Dadan</v>
      </c>
      <c r="C128" s="3" t="str">
        <v>Female</v>
      </c>
      <c r="D128" s="3" t="str">
        <v>Mountain Bandits</v>
      </c>
      <c r="E128" s="3" t="str">
        <v>Leader</v>
      </c>
      <c r="F128" s="3">
        <v>0</v>
      </c>
      <c r="G128" s="3">
        <v>55</v>
      </c>
      <c r="H128" s="3" t="str">
        <v>No</v>
      </c>
      <c r="I128" s="3">
        <v>0</v>
      </c>
      <c r="J128" s="3" t="str">
        <v>East Blue</v>
      </c>
      <c r="K128" s="3" t="str">
        <v>Active</v>
      </c>
      <c r="L128" s="3" t="str">
        <v>Leader</v>
      </c>
      <c r="M128" s="3">
        <v>212</v>
      </c>
      <c r="N128" s="3" t="str">
        <v>Foosha Village</v>
      </c>
    </row>
    <row r="129" spans="2:14" x14ac:dyDescent="0.3">
      <c r="B129" s="3" t="str">
        <v>Merry</v>
      </c>
      <c r="C129" s="3" t="str">
        <v>Female</v>
      </c>
      <c r="D129" s="3" t="str">
        <v>Syrup Village</v>
      </c>
      <c r="E129" s="3" t="str">
        <v>Butler</v>
      </c>
      <c r="F129" s="3">
        <v>0</v>
      </c>
      <c r="G129" s="3">
        <v>0</v>
      </c>
      <c r="H129" s="3" t="str">
        <v>No</v>
      </c>
      <c r="I129" s="3">
        <v>0</v>
      </c>
      <c r="J129" s="3" t="str">
        <v>East Blue</v>
      </c>
      <c r="K129" s="3" t="str">
        <v>Active</v>
      </c>
      <c r="L129" s="3" t="str">
        <v>Butler</v>
      </c>
      <c r="M129" s="3">
        <v>0</v>
      </c>
      <c r="N129" s="3" t="str">
        <v>Syrup Village</v>
      </c>
    </row>
    <row r="130" spans="2:14" x14ac:dyDescent="0.3">
      <c r="B130" s="3" t="str">
        <v>Chimney</v>
      </c>
      <c r="C130" s="3" t="str">
        <v>Female</v>
      </c>
      <c r="D130" s="3" t="str">
        <v>Water 7</v>
      </c>
      <c r="E130" s="3" t="str">
        <v>Child</v>
      </c>
      <c r="F130" s="3">
        <v>0</v>
      </c>
      <c r="G130" s="3">
        <v>8</v>
      </c>
      <c r="H130" s="3" t="str">
        <v>No</v>
      </c>
      <c r="I130" s="3">
        <v>0</v>
      </c>
      <c r="J130" s="3" t="str">
        <v>Water 7</v>
      </c>
      <c r="K130" s="3" t="str">
        <v>Active</v>
      </c>
      <c r="L130" s="3" t="str">
        <v>Civilian</v>
      </c>
      <c r="M130" s="3">
        <v>115</v>
      </c>
      <c r="N130" s="3" t="str">
        <v>Water 7</v>
      </c>
    </row>
    <row r="131" spans="2:14" x14ac:dyDescent="0.3">
      <c r="B131" s="3" t="str">
        <v>Bell-mère</v>
      </c>
      <c r="C131" s="3" t="str">
        <v>Female</v>
      </c>
      <c r="D131" s="3" t="str">
        <v>Marines / Cocoyasi Village</v>
      </c>
      <c r="E131" s="3" t="str">
        <v>Marine / Mother</v>
      </c>
      <c r="F131" s="3">
        <v>0</v>
      </c>
      <c r="G131" s="3">
        <v>30</v>
      </c>
      <c r="H131" s="3" t="str">
        <v>No</v>
      </c>
      <c r="I131" s="3">
        <v>0</v>
      </c>
      <c r="J131" s="3" t="str">
        <v>East Blue</v>
      </c>
      <c r="K131" s="3" t="str">
        <v>Deceased</v>
      </c>
      <c r="L131" s="3" t="str">
        <v>Marine</v>
      </c>
      <c r="M131" s="3">
        <v>186</v>
      </c>
      <c r="N131" s="3" t="str">
        <v>Arlong Park flashback</v>
      </c>
    </row>
    <row r="132" spans="2:14" x14ac:dyDescent="0.3">
      <c r="B132" s="3" t="str">
        <v>Kuina</v>
      </c>
      <c r="C132" s="3" t="str">
        <v>Female</v>
      </c>
      <c r="D132" s="3" t="str">
        <v>Shimotsuki Village</v>
      </c>
      <c r="E132" s="3" t="str">
        <v>Swordswoman</v>
      </c>
      <c r="F132" s="3">
        <v>0</v>
      </c>
      <c r="G132" s="3">
        <v>11</v>
      </c>
      <c r="H132" s="3" t="str">
        <v>No</v>
      </c>
      <c r="I132" s="3">
        <v>0</v>
      </c>
      <c r="J132" s="3" t="str">
        <v>East Blue</v>
      </c>
      <c r="K132" s="3" t="str">
        <v>Deceased</v>
      </c>
      <c r="L132" s="3" t="str">
        <v>Swordswoman</v>
      </c>
      <c r="M132" s="3">
        <v>152</v>
      </c>
      <c r="N132" s="3" t="str">
        <v>Romance Dawn flashback</v>
      </c>
    </row>
    <row r="133" spans="2:14" x14ac:dyDescent="0.3">
      <c r="B133" s="3" t="str">
        <v>Kaku</v>
      </c>
      <c r="C133" s="3" t="str">
        <v>Male</v>
      </c>
      <c r="D133" s="3" t="str">
        <v>CP0 / World Government</v>
      </c>
      <c r="E133" s="3" t="str">
        <v>Agent</v>
      </c>
      <c r="F133" s="3">
        <v>0</v>
      </c>
      <c r="G133" s="3">
        <v>25</v>
      </c>
      <c r="H133" s="3" t="str">
        <v>Yes</v>
      </c>
      <c r="I133" s="3" t="str">
        <v>Armament + Observation</v>
      </c>
      <c r="J133" s="3" t="str">
        <v>East Blue</v>
      </c>
      <c r="K133" s="3" t="str">
        <v>Active</v>
      </c>
      <c r="L133" s="3" t="str">
        <v>CP0</v>
      </c>
      <c r="M133" s="3">
        <v>212</v>
      </c>
      <c r="N133" s="3" t="str">
        <v>Water 7</v>
      </c>
    </row>
    <row r="134" spans="2:14" x14ac:dyDescent="0.3">
      <c r="B134" s="3" t="str">
        <v>Shyarly</v>
      </c>
      <c r="C134" s="3" t="str">
        <v>Female</v>
      </c>
      <c r="D134" s="3" t="str">
        <v>Fish-Man Island</v>
      </c>
      <c r="E134" s="3" t="str">
        <v>Fortune Teller</v>
      </c>
      <c r="F134" s="3">
        <v>0</v>
      </c>
      <c r="G134" s="3">
        <v>0</v>
      </c>
      <c r="H134" s="3" t="str">
        <v>Yes</v>
      </c>
      <c r="I134" s="3" t="str">
        <v>Observation</v>
      </c>
      <c r="J134" s="3" t="str">
        <v>Fish-Man Island</v>
      </c>
      <c r="K134" s="3" t="str">
        <v>Active</v>
      </c>
      <c r="L134" s="3" t="str">
        <v>Fortune Teller</v>
      </c>
      <c r="M134" s="3">
        <v>0</v>
      </c>
      <c r="N134" s="3" t="str">
        <v>Fish-Man Island</v>
      </c>
    </row>
    <row r="135" spans="2:14" x14ac:dyDescent="0.3">
      <c r="B135" s="3" t="str">
        <v>Cocoa</v>
      </c>
      <c r="C135" s="3" t="str">
        <v>Female</v>
      </c>
      <c r="D135" s="3" t="str">
        <v>Water 7</v>
      </c>
      <c r="E135" s="3" t="str">
        <v>Shipwright</v>
      </c>
      <c r="F135" s="3">
        <v>0</v>
      </c>
      <c r="G135" s="3">
        <v>0</v>
      </c>
      <c r="H135" s="3" t="str">
        <v>No</v>
      </c>
      <c r="I135" s="3">
        <v>0</v>
      </c>
      <c r="J135" s="3" t="str">
        <v>Water 7</v>
      </c>
      <c r="K135" s="3" t="str">
        <v>Active</v>
      </c>
      <c r="L135" s="3" t="str">
        <v>Shipwright</v>
      </c>
      <c r="M135" s="3">
        <v>0</v>
      </c>
      <c r="N135" s="3" t="str">
        <v>Water 7</v>
      </c>
    </row>
    <row r="136" spans="2:14" x14ac:dyDescent="0.3">
      <c r="B136" s="3" t="str">
        <v>Shaka</v>
      </c>
      <c r="C136" s="3" t="str">
        <v>Female</v>
      </c>
      <c r="D136" s="3" t="str">
        <v>Vegapunk / Satellite</v>
      </c>
      <c r="E136" s="3" t="str">
        <v>Scientist</v>
      </c>
      <c r="F136" s="3">
        <v>0</v>
      </c>
      <c r="G136" s="3">
        <v>24</v>
      </c>
      <c r="H136" s="3" t="str">
        <v>No</v>
      </c>
      <c r="I136" s="3">
        <v>0</v>
      </c>
      <c r="J136" s="3" t="str">
        <v>Grand Line</v>
      </c>
      <c r="K136" s="3" t="str">
        <v>Deceased</v>
      </c>
      <c r="L136" s="3" t="str">
        <v>Scientist</v>
      </c>
      <c r="M136" s="3">
        <v>0</v>
      </c>
      <c r="N136" s="3" t="str">
        <v>Egghead</v>
      </c>
    </row>
    <row r="137" spans="2:14" x14ac:dyDescent="0.3">
      <c r="B137" s="3" t="str">
        <v>Gloriosa</v>
      </c>
      <c r="C137" s="3" t="str">
        <v>Female</v>
      </c>
      <c r="D137" s="3" t="str">
        <v>Kuja Pirates</v>
      </c>
      <c r="E137" s="3" t="str">
        <v>Former Empress</v>
      </c>
      <c r="F137" s="3">
        <v>0</v>
      </c>
      <c r="G137" s="3">
        <v>88</v>
      </c>
      <c r="H137" s="3" t="str">
        <v>No</v>
      </c>
      <c r="I137" s="3">
        <v>0</v>
      </c>
      <c r="J137" s="3" t="str">
        <v>Amazon Lily</v>
      </c>
      <c r="K137" s="3" t="str">
        <v>Active</v>
      </c>
      <c r="L137" s="3" t="str">
        <v>Former Empress</v>
      </c>
      <c r="M137" s="3">
        <v>165</v>
      </c>
      <c r="N137" s="3" t="str">
        <v>Amazon Lily</v>
      </c>
    </row>
    <row r="138" spans="2:14" x14ac:dyDescent="0.3">
      <c r="B138" s="3" t="str">
        <v>Kalifa</v>
      </c>
      <c r="C138" s="3" t="str">
        <v>Female</v>
      </c>
      <c r="D138" s="3" t="str">
        <v>CP9</v>
      </c>
      <c r="E138" s="3" t="str">
        <v>Agent</v>
      </c>
      <c r="F138" s="3">
        <v>0</v>
      </c>
      <c r="G138" s="3">
        <v>27</v>
      </c>
      <c r="H138" s="3" t="str">
        <v>Yes</v>
      </c>
      <c r="I138" s="3">
        <v>0</v>
      </c>
      <c r="J138" s="3" t="str">
        <v>Grand Line</v>
      </c>
      <c r="K138" s="3" t="str">
        <v>Active</v>
      </c>
      <c r="L138" s="3" t="str">
        <v>CP0</v>
      </c>
      <c r="M138" s="3">
        <v>185</v>
      </c>
      <c r="N138" s="3" t="str">
        <v>Water 7</v>
      </c>
    </row>
    <row r="139" spans="2:14" x14ac:dyDescent="0.3">
      <c r="B139" s="3" t="str">
        <v>Blueno</v>
      </c>
      <c r="C139" s="3" t="str">
        <v>Male</v>
      </c>
      <c r="D139" s="3" t="str">
        <v>CP9</v>
      </c>
      <c r="E139" s="3" t="str">
        <v>Agent</v>
      </c>
      <c r="F139" s="3">
        <v>0</v>
      </c>
      <c r="G139" s="3">
        <v>30</v>
      </c>
      <c r="H139" s="3" t="str">
        <v>Yes</v>
      </c>
      <c r="I139" s="3" t="str">
        <v>Armament + Observation</v>
      </c>
      <c r="J139" s="3" t="str">
        <v>Grand Line</v>
      </c>
      <c r="K139" s="3" t="str">
        <v>Active</v>
      </c>
      <c r="L139" s="3" t="str">
        <v>CP9</v>
      </c>
      <c r="M139" s="3">
        <v>258</v>
      </c>
      <c r="N139" s="3" t="str">
        <v>Water 7</v>
      </c>
    </row>
    <row r="140" spans="2:14" x14ac:dyDescent="0.3">
      <c r="B140" s="3" t="str">
        <v>Camie</v>
      </c>
      <c r="C140" s="3" t="str">
        <v>Female</v>
      </c>
      <c r="D140" s="3" t="str">
        <v>Mermaid Cafe</v>
      </c>
      <c r="E140" s="3" t="str">
        <v>Mermaid</v>
      </c>
      <c r="F140" s="3">
        <v>0</v>
      </c>
      <c r="G140" s="3">
        <v>18</v>
      </c>
      <c r="H140" s="3" t="str">
        <v>No</v>
      </c>
      <c r="I140" s="3">
        <v>0</v>
      </c>
      <c r="J140" s="3" t="str">
        <v>Fish-Man Island</v>
      </c>
      <c r="K140" s="3" t="str">
        <v>Active</v>
      </c>
      <c r="L140" s="3" t="str">
        <v>Mermaid</v>
      </c>
      <c r="M140" s="3">
        <v>197</v>
      </c>
      <c r="N140" s="3" t="str">
        <v>Sabaody Archipelago</v>
      </c>
    </row>
    <row r="141" spans="2:14" x14ac:dyDescent="0.3">
      <c r="B141" s="3" t="str">
        <v>Marigold</v>
      </c>
      <c r="C141" s="3" t="str">
        <v>Female</v>
      </c>
      <c r="D141" s="3" t="str">
        <v>Kuja Pirates</v>
      </c>
      <c r="E141" s="3" t="str">
        <v>Warrior</v>
      </c>
      <c r="F141" s="3">
        <v>0</v>
      </c>
      <c r="G141" s="3">
        <v>28</v>
      </c>
      <c r="H141" s="3" t="str">
        <v>Yes</v>
      </c>
      <c r="I141" s="3" t="str">
        <v>Observation + Armament</v>
      </c>
      <c r="J141" s="3" t="str">
        <v>Amazon Lily</v>
      </c>
      <c r="K141" s="3" t="str">
        <v>Active</v>
      </c>
      <c r="L141" s="3" t="str">
        <v>Warrior</v>
      </c>
      <c r="M141" s="3">
        <v>432</v>
      </c>
      <c r="N141" s="3" t="str">
        <v>Amazon Lily</v>
      </c>
    </row>
    <row r="142" spans="2:14" x14ac:dyDescent="0.3">
      <c r="B142" s="3" t="str">
        <v>Miss Monday</v>
      </c>
      <c r="C142" s="3" t="str">
        <v>Female</v>
      </c>
      <c r="D142" s="3" t="str">
        <v>Baroque Works</v>
      </c>
      <c r="E142" s="3" t="str">
        <v>Officer</v>
      </c>
      <c r="F142" s="3">
        <v>0</v>
      </c>
      <c r="G142" s="3">
        <v>24</v>
      </c>
      <c r="H142" s="3" t="str">
        <v>No</v>
      </c>
      <c r="I142" s="3">
        <v>0</v>
      </c>
      <c r="J142" s="3" t="str">
        <v>West Blue</v>
      </c>
      <c r="K142" s="3" t="str">
        <v>Active</v>
      </c>
      <c r="L142" s="3" t="str">
        <v>Officer</v>
      </c>
      <c r="M142" s="3">
        <v>220</v>
      </c>
      <c r="N142" s="3" t="str">
        <v>Whiskey Peak</v>
      </c>
    </row>
    <row r="143" spans="2:14" x14ac:dyDescent="0.3">
      <c r="B143" s="3" t="str">
        <v>Calgara's descendant Aisa</v>
      </c>
      <c r="C143" s="3" t="str">
        <v>Female</v>
      </c>
      <c r="D143" s="3" t="str">
        <v>Shandia</v>
      </c>
      <c r="E143" s="3" t="str">
        <v>Shandia Warrior</v>
      </c>
      <c r="F143" s="3">
        <v>0</v>
      </c>
      <c r="G143" s="3">
        <v>10</v>
      </c>
      <c r="H143" s="3" t="str">
        <v>No</v>
      </c>
      <c r="I143" s="3" t="str">
        <v>Observation</v>
      </c>
      <c r="J143" s="3" t="str">
        <v>Sky Island</v>
      </c>
      <c r="K143" s="3" t="str">
        <v>Active</v>
      </c>
      <c r="L143" s="3" t="str">
        <v>Warrior</v>
      </c>
      <c r="M143" s="3">
        <v>140</v>
      </c>
      <c r="N143" s="3" t="str">
        <v>Skypiea</v>
      </c>
    </row>
    <row r="144" spans="2:14" x14ac:dyDescent="0.3">
      <c r="B144" s="3" t="str">
        <v>Kokoro</v>
      </c>
      <c r="C144" s="3" t="str">
        <v>Female</v>
      </c>
      <c r="D144" s="3" t="str">
        <v>Water 7</v>
      </c>
      <c r="E144" s="3" t="str">
        <v>Station Master</v>
      </c>
      <c r="F144" s="3">
        <v>0</v>
      </c>
      <c r="G144" s="3">
        <v>72</v>
      </c>
      <c r="H144" s="3" t="str">
        <v>No</v>
      </c>
      <c r="I144" s="3">
        <v>0</v>
      </c>
      <c r="J144" s="3" t="str">
        <v>Water 7</v>
      </c>
      <c r="K144" s="3" t="str">
        <v>Active</v>
      </c>
      <c r="L144" s="3" t="str">
        <v>Station Master</v>
      </c>
      <c r="M144" s="3">
        <v>168</v>
      </c>
      <c r="N144" s="3" t="str">
        <v>Water 7</v>
      </c>
    </row>
    <row r="145" spans="2:14" x14ac:dyDescent="0.3">
      <c r="B145" s="3" t="str">
        <v>Viola</v>
      </c>
      <c r="C145" s="3" t="str">
        <v>Female</v>
      </c>
      <c r="D145" s="3" t="str">
        <v>Dressrosa</v>
      </c>
      <c r="E145" s="3" t="str">
        <v>Princess</v>
      </c>
      <c r="F145" s="3">
        <v>0</v>
      </c>
      <c r="G145" s="3">
        <v>29</v>
      </c>
      <c r="H145" s="3" t="str">
        <v>No</v>
      </c>
      <c r="I145" s="3" t="str">
        <v>Observation</v>
      </c>
      <c r="J145" s="3" t="str">
        <v>Grand Line</v>
      </c>
      <c r="K145" s="3" t="str">
        <v>Active</v>
      </c>
      <c r="L145" s="3" t="str">
        <v>Princess</v>
      </c>
      <c r="M145" s="3">
        <v>178</v>
      </c>
      <c r="N145" s="3" t="str">
        <v>Dressrosa</v>
      </c>
    </row>
    <row r="146" spans="2:14" x14ac:dyDescent="0.3">
      <c r="B146" s="3" t="str">
        <v>Morley</v>
      </c>
      <c r="C146" s="3" t="str">
        <v>Female</v>
      </c>
      <c r="D146" s="3" t="str">
        <v>Revolutionary Army</v>
      </c>
      <c r="E146" s="3" t="str">
        <v>Commander</v>
      </c>
      <c r="F146" s="3">
        <v>0</v>
      </c>
      <c r="G146" s="3">
        <v>160</v>
      </c>
      <c r="H146" s="3" t="str">
        <v>Yes</v>
      </c>
      <c r="I146" s="3">
        <v>0</v>
      </c>
      <c r="J146" s="3" t="str">
        <v>West Blue</v>
      </c>
      <c r="K146" s="3" t="str">
        <v>Active</v>
      </c>
      <c r="L146" s="3" t="str">
        <v>Commander</v>
      </c>
      <c r="M146" s="3">
        <v>1253</v>
      </c>
      <c r="N146" s="3" t="str">
        <v>Reverie</v>
      </c>
    </row>
    <row r="147" spans="2:14" x14ac:dyDescent="0.3">
      <c r="B147" s="3" t="str">
        <v>Duval</v>
      </c>
      <c r="C147" s="3" t="str">
        <v>Male</v>
      </c>
      <c r="D147" s="3" t="str">
        <v>Rosy Life Riders</v>
      </c>
      <c r="E147" s="3" t="str">
        <v>Leader</v>
      </c>
      <c r="F147" s="3">
        <v>0</v>
      </c>
      <c r="G147" s="3">
        <v>24</v>
      </c>
      <c r="H147" s="3" t="str">
        <v>No</v>
      </c>
      <c r="I147" s="3">
        <v>0</v>
      </c>
      <c r="J147" s="3" t="str">
        <v>North Blue</v>
      </c>
      <c r="K147" s="3" t="str">
        <v>Active</v>
      </c>
      <c r="L147" s="3" t="str">
        <v>Leader</v>
      </c>
      <c r="M147" s="3">
        <v>470</v>
      </c>
      <c r="N147" s="3" t="str">
        <v>Sabaody Archipelago</v>
      </c>
    </row>
    <row r="148" spans="2:14" x14ac:dyDescent="0.3">
      <c r="B148" s="3" t="str">
        <v>Domino</v>
      </c>
      <c r="C148" s="3" t="str">
        <v>Female</v>
      </c>
      <c r="D148" s="3" t="str">
        <v>Impel Down</v>
      </c>
      <c r="E148" s="3" t="str">
        <v>Chief Guard</v>
      </c>
      <c r="F148" s="3">
        <v>0</v>
      </c>
      <c r="G148" s="3">
        <v>0</v>
      </c>
      <c r="H148" s="3" t="str">
        <v>No</v>
      </c>
      <c r="I148" s="3">
        <v>0</v>
      </c>
      <c r="J148" s="3" t="str">
        <v>Grand Line</v>
      </c>
      <c r="K148" s="3" t="str">
        <v>Active</v>
      </c>
      <c r="L148" s="3" t="str">
        <v>Chief Guard</v>
      </c>
      <c r="M148" s="3">
        <v>178</v>
      </c>
      <c r="N148" s="3" t="str">
        <v>Impel Down</v>
      </c>
    </row>
    <row r="149" spans="2:14" x14ac:dyDescent="0.3">
      <c r="B149" s="3" t="str">
        <v>Boa Hancock's mother</v>
      </c>
      <c r="C149" s="3" t="str">
        <v>Female</v>
      </c>
      <c r="D149" s="3" t="str">
        <v>Kuja</v>
      </c>
      <c r="E149" s="3" t="str">
        <v>Civilian</v>
      </c>
      <c r="F149" s="3">
        <v>0</v>
      </c>
      <c r="G149" s="3">
        <v>0</v>
      </c>
      <c r="H149" s="3" t="str">
        <v>No</v>
      </c>
      <c r="I149" s="3">
        <v>0</v>
      </c>
      <c r="J149" s="3" t="str">
        <v>Amazon Lily</v>
      </c>
      <c r="K149" s="3" t="str">
        <v>Unknown</v>
      </c>
      <c r="L149" s="3" t="str">
        <v>Civilian</v>
      </c>
      <c r="M149" s="3">
        <v>0</v>
      </c>
      <c r="N149" s="3" t="str">
        <v>Amazon Lily flashback</v>
      </c>
    </row>
    <row r="150" spans="2:14" x14ac:dyDescent="0.3">
      <c r="B150" s="3" t="str">
        <v>Baccarat</v>
      </c>
      <c r="C150" s="3" t="str">
        <v>Female</v>
      </c>
      <c r="D150" s="3" t="str">
        <v>Gran Tesoro</v>
      </c>
      <c r="E150" s="3" t="str">
        <v>Hostess</v>
      </c>
      <c r="F150" s="3">
        <v>0</v>
      </c>
      <c r="G150" s="3">
        <v>0</v>
      </c>
      <c r="H150" s="3" t="str">
        <v>Yes</v>
      </c>
      <c r="I150" s="3">
        <v>0</v>
      </c>
      <c r="J150" s="3" t="str">
        <v>Grand Line</v>
      </c>
      <c r="K150" s="3" t="str">
        <v>Active</v>
      </c>
      <c r="L150" s="3" t="str">
        <v>Officer</v>
      </c>
      <c r="M150" s="3">
        <v>0</v>
      </c>
      <c r="N150" s="3" t="str">
        <v>Film Gold</v>
      </c>
    </row>
    <row r="151" spans="2:14" x14ac:dyDescent="0.3">
      <c r="B151" s="3" t="str">
        <v>Yamato</v>
      </c>
      <c r="C151" s="3" t="str">
        <v>Female</v>
      </c>
      <c r="D151" s="3" t="str">
        <v>Beasts Pirates</v>
      </c>
      <c r="E151" s="3" t="str">
        <v>Samurai</v>
      </c>
      <c r="F151" s="3">
        <v>0</v>
      </c>
      <c r="G151" s="3">
        <v>28</v>
      </c>
      <c r="H151" s="3" t="str">
        <v>Yes</v>
      </c>
      <c r="I151" s="3" t="str">
        <v>All Three</v>
      </c>
      <c r="J151" s="3" t="str">
        <v>Wano</v>
      </c>
      <c r="K151" s="3" t="str">
        <v>Active</v>
      </c>
      <c r="L151" s="3" t="str">
        <v>Samurai</v>
      </c>
      <c r="M151" s="3">
        <v>263</v>
      </c>
      <c r="N151" s="3" t="str">
        <v>Wano</v>
      </c>
    </row>
    <row r="152" spans="2:14" x14ac:dyDescent="0.3">
      <c r="B152" s="3" t="str">
        <v>Edison</v>
      </c>
      <c r="C152" s="3" t="str">
        <v>Female</v>
      </c>
      <c r="D152" s="3" t="str">
        <v>Vegapunk / Satellite</v>
      </c>
      <c r="E152" s="3" t="str">
        <v>Scientist</v>
      </c>
      <c r="F152" s="3">
        <v>0</v>
      </c>
      <c r="G152" s="3">
        <v>24</v>
      </c>
      <c r="H152" s="3" t="str">
        <v>No</v>
      </c>
      <c r="I152" s="3">
        <v>0</v>
      </c>
      <c r="J152" s="3" t="str">
        <v>Grand Line</v>
      </c>
      <c r="K152" s="3" t="str">
        <v>Active</v>
      </c>
      <c r="L152" s="3" t="str">
        <v>Scientist</v>
      </c>
      <c r="M152" s="3">
        <v>0</v>
      </c>
      <c r="N152" s="3" t="str">
        <v>Egghead</v>
      </c>
    </row>
    <row r="153" spans="2:14" x14ac:dyDescent="0.3">
      <c r="B153" s="3" t="str">
        <v>Boa Marigold</v>
      </c>
      <c r="C153" s="3" t="str">
        <v>Female</v>
      </c>
      <c r="D153" s="3" t="str">
        <v>Kuja Pirates</v>
      </c>
      <c r="E153" s="3" t="str">
        <v>Warrior</v>
      </c>
      <c r="F153" s="3">
        <v>0</v>
      </c>
      <c r="G153" s="3">
        <v>28</v>
      </c>
      <c r="H153" s="3" t="str">
        <v>Yes</v>
      </c>
      <c r="I153" s="3" t="str">
        <v>Observation + Armament</v>
      </c>
      <c r="J153" s="3" t="str">
        <v>Amazon Lily</v>
      </c>
      <c r="K153" s="3" t="str">
        <v>Active</v>
      </c>
      <c r="L153" s="3" t="str">
        <v>Warrior</v>
      </c>
      <c r="M153" s="3">
        <v>432</v>
      </c>
      <c r="N153" s="3" t="str">
        <v>Amazon Lily</v>
      </c>
    </row>
    <row r="154" spans="2:14" x14ac:dyDescent="0.3">
      <c r="B154" s="3" t="str">
        <v>Otohime</v>
      </c>
      <c r="C154" s="3" t="str">
        <v>Female</v>
      </c>
      <c r="D154" s="3" t="str">
        <v>Ryugu Kingdom</v>
      </c>
      <c r="E154" s="3" t="str">
        <v>Queen</v>
      </c>
      <c r="F154" s="3">
        <v>0</v>
      </c>
      <c r="G154" s="3">
        <v>36</v>
      </c>
      <c r="H154" s="3" t="str">
        <v>No</v>
      </c>
      <c r="I154" s="3" t="str">
        <v>Observation</v>
      </c>
      <c r="J154" s="3" t="str">
        <v>Fish-Man Island</v>
      </c>
      <c r="K154" s="3" t="str">
        <v>Deceased</v>
      </c>
      <c r="L154" s="3" t="str">
        <v>Queen</v>
      </c>
      <c r="M154" s="3">
        <v>224</v>
      </c>
      <c r="N154" s="3" t="str">
        <v>Fish-Man Island flashback</v>
      </c>
    </row>
    <row r="155" spans="2:14" x14ac:dyDescent="0.3">
      <c r="B155" s="3" t="str">
        <v>Lilith</v>
      </c>
      <c r="C155" s="3" t="str">
        <v>Female</v>
      </c>
      <c r="D155" s="3" t="str">
        <v>Vegapunk / Satellite</v>
      </c>
      <c r="E155" s="3" t="str">
        <v>Scientist</v>
      </c>
      <c r="F155" s="3">
        <v>0</v>
      </c>
      <c r="G155" s="3">
        <v>24</v>
      </c>
      <c r="H155" s="3" t="str">
        <v>Yes</v>
      </c>
      <c r="I155" s="3">
        <v>0</v>
      </c>
      <c r="J155" s="3" t="str">
        <v>Grand Line</v>
      </c>
      <c r="K155" s="3" t="str">
        <v>Active</v>
      </c>
      <c r="L155" s="3" t="str">
        <v>Scientist</v>
      </c>
      <c r="M155" s="3">
        <v>0</v>
      </c>
      <c r="N155" s="3" t="str">
        <v>Egghead</v>
      </c>
    </row>
    <row r="156" spans="2:14" x14ac:dyDescent="0.3">
      <c r="B156" s="3" t="str">
        <v>S-Snake</v>
      </c>
      <c r="C156" s="3" t="str">
        <v>Female</v>
      </c>
      <c r="D156" s="3" t="str">
        <v>Seraphim</v>
      </c>
      <c r="E156" s="3" t="str">
        <v>Seraphim</v>
      </c>
      <c r="F156" s="3">
        <v>0</v>
      </c>
      <c r="G156" s="3">
        <v>0</v>
      </c>
      <c r="H156" s="3" t="str">
        <v>Yes</v>
      </c>
      <c r="I156" s="3">
        <v>0</v>
      </c>
      <c r="J156" s="3" t="str">
        <v>Grand Line</v>
      </c>
      <c r="K156" s="3" t="str">
        <v>Active</v>
      </c>
      <c r="L156" s="3" t="str">
        <v>Seraphim</v>
      </c>
      <c r="M156" s="3">
        <v>0</v>
      </c>
      <c r="N156" s="3" t="str">
        <v>Egghead</v>
      </c>
    </row>
    <row r="157" spans="2:14" x14ac:dyDescent="0.3">
      <c r="B157" s="3" t="str">
        <v>Kikunojo</v>
      </c>
      <c r="C157" s="3" t="str">
        <v>Female</v>
      </c>
      <c r="D157" s="3" t="str">
        <v>Nine Red Scabbards</v>
      </c>
      <c r="E157" s="3" t="str">
        <v>Samurai</v>
      </c>
      <c r="F157" s="3">
        <v>0</v>
      </c>
      <c r="G157" s="3">
        <v>22</v>
      </c>
      <c r="H157" s="3" t="str">
        <v>No</v>
      </c>
      <c r="I157" s="3" t="str">
        <v>Armament + Observation</v>
      </c>
      <c r="J157" s="3" t="str">
        <v>Wano</v>
      </c>
      <c r="K157" s="3" t="str">
        <v>Active</v>
      </c>
      <c r="L157" s="3" t="str">
        <v>Samurai</v>
      </c>
      <c r="M157" s="3">
        <v>287</v>
      </c>
      <c r="N157" s="3" t="str">
        <v>Wano</v>
      </c>
    </row>
    <row r="158" spans="2:14" x14ac:dyDescent="0.3">
      <c r="B158" s="3" t="str">
        <v>Rebecca's mother Scarlett</v>
      </c>
      <c r="C158" s="3" t="str">
        <v>Female</v>
      </c>
      <c r="D158" s="3" t="str">
        <v>Dressrosa</v>
      </c>
      <c r="E158" s="3" t="str">
        <v>Princess</v>
      </c>
      <c r="F158" s="3">
        <v>0</v>
      </c>
      <c r="G158" s="3">
        <v>0</v>
      </c>
      <c r="H158" s="3" t="str">
        <v>No</v>
      </c>
      <c r="I158" s="3">
        <v>0</v>
      </c>
      <c r="J158" s="3" t="str">
        <v>Grand Line</v>
      </c>
      <c r="K158" s="3" t="str">
        <v>Deceased</v>
      </c>
      <c r="L158" s="3" t="str">
        <v>Princess</v>
      </c>
      <c r="M158" s="3">
        <v>0</v>
      </c>
      <c r="N158" s="3" t="str">
        <v>Dressrosa flashback</v>
      </c>
    </row>
    <row r="159" spans="2:14" x14ac:dyDescent="0.3">
      <c r="B159" s="3" t="str">
        <v>Jabra</v>
      </c>
      <c r="C159" s="3" t="str">
        <v>Male</v>
      </c>
      <c r="D159" s="3" t="str">
        <v>CP9</v>
      </c>
      <c r="E159" s="3" t="str">
        <v>Agent</v>
      </c>
      <c r="F159" s="3">
        <v>0</v>
      </c>
      <c r="G159" s="3">
        <v>37</v>
      </c>
      <c r="H159" s="3" t="str">
        <v>Yes</v>
      </c>
      <c r="I159" s="3" t="str">
        <v>Armament + Observation</v>
      </c>
      <c r="J159" s="3" t="str">
        <v>Grand Line</v>
      </c>
      <c r="K159" s="3" t="str">
        <v>Active</v>
      </c>
      <c r="L159" s="3" t="str">
        <v>CP9</v>
      </c>
      <c r="M159" s="3">
        <v>212</v>
      </c>
      <c r="N159" s="3" t="str">
        <v>Enies Lobby</v>
      </c>
    </row>
    <row r="160" spans="2:14" x14ac:dyDescent="0.3">
      <c r="B160" s="3" t="str">
        <v>Rebecca</v>
      </c>
      <c r="C160" s="3" t="str">
        <v>Female</v>
      </c>
      <c r="D160" s="3" t="str">
        <v>Dressrosa</v>
      </c>
      <c r="E160" s="3" t="str">
        <v>Gladiator</v>
      </c>
      <c r="F160" s="3">
        <v>0</v>
      </c>
      <c r="G160" s="3">
        <v>16</v>
      </c>
      <c r="H160" s="3" t="str">
        <v>No</v>
      </c>
      <c r="I160" s="3" t="str">
        <v>Observation</v>
      </c>
      <c r="J160" s="3" t="str">
        <v>Grand Line</v>
      </c>
      <c r="K160" s="3" t="str">
        <v>Active</v>
      </c>
      <c r="L160" s="3" t="str">
        <v>Gladiator</v>
      </c>
      <c r="M160" s="3">
        <v>171</v>
      </c>
      <c r="N160" s="3" t="str">
        <v>Dressrosa</v>
      </c>
    </row>
    <row r="161" spans="2:14" x14ac:dyDescent="0.3">
      <c r="B161" s="3" t="str">
        <v>Kaya</v>
      </c>
      <c r="C161" s="3" t="str">
        <v>Female</v>
      </c>
      <c r="D161" s="3" t="str">
        <v>Syrup Village</v>
      </c>
      <c r="E161" s="3" t="str">
        <v>Doctor</v>
      </c>
      <c r="F161" s="3">
        <v>0</v>
      </c>
      <c r="G161" s="3">
        <v>19</v>
      </c>
      <c r="H161" s="3" t="str">
        <v>No</v>
      </c>
      <c r="I161" s="3">
        <v>0</v>
      </c>
      <c r="J161" s="3" t="str">
        <v>East Blue</v>
      </c>
      <c r="K161" s="3" t="str">
        <v>Active</v>
      </c>
      <c r="L161" s="3" t="str">
        <v>Civilian</v>
      </c>
      <c r="M161" s="3">
        <v>169</v>
      </c>
      <c r="N161" s="3" t="str">
        <v>Syrup Village</v>
      </c>
    </row>
    <row r="162" spans="2:14" x14ac:dyDescent="0.3">
      <c r="B162" s="3" t="str">
        <v>Hannyabal's colleague Domino</v>
      </c>
      <c r="C162" s="3" t="str">
        <v>Female</v>
      </c>
      <c r="D162" s="3" t="str">
        <v>Impel Down</v>
      </c>
      <c r="E162" s="3" t="str">
        <v>Guard</v>
      </c>
      <c r="F162" s="3">
        <v>0</v>
      </c>
      <c r="G162" s="3">
        <v>0</v>
      </c>
      <c r="H162" s="3" t="str">
        <v>No</v>
      </c>
      <c r="I162" s="3">
        <v>0</v>
      </c>
      <c r="J162" s="3" t="str">
        <v>Grand Line</v>
      </c>
      <c r="K162" s="3" t="str">
        <v>Active</v>
      </c>
      <c r="L162" s="3" t="str">
        <v>Guard</v>
      </c>
      <c r="M162" s="3">
        <v>178</v>
      </c>
      <c r="N162" s="3" t="str">
        <v>Impel Down</v>
      </c>
    </row>
    <row r="163" spans="2:14" x14ac:dyDescent="0.3">
      <c r="B163" s="3" t="str">
        <v>Charlotte Amande</v>
      </c>
      <c r="C163" s="3" t="str">
        <v>Female</v>
      </c>
      <c r="D163" s="3" t="str">
        <v>Big Mom Pirates</v>
      </c>
      <c r="E163" s="3" t="str">
        <v>Officer</v>
      </c>
      <c r="F163" s="3">
        <v>0</v>
      </c>
      <c r="G163" s="3">
        <v>47</v>
      </c>
      <c r="H163" s="3" t="str">
        <v>No</v>
      </c>
      <c r="I163" s="3">
        <v>0</v>
      </c>
      <c r="J163" s="3" t="str">
        <v>South Blue</v>
      </c>
      <c r="K163" s="3" t="str">
        <v>Active</v>
      </c>
      <c r="L163" s="3" t="str">
        <v>Officer</v>
      </c>
      <c r="M163" s="3">
        <v>42</v>
      </c>
      <c r="N163" s="3" t="str">
        <v>Whole Cake Island</v>
      </c>
    </row>
    <row r="164" spans="2:14" x14ac:dyDescent="0.3">
      <c r="B164" s="3" t="str">
        <v>Ain</v>
      </c>
      <c r="C164" s="3" t="str">
        <v>Female</v>
      </c>
      <c r="D164" s="3" t="str">
        <v>Neo Marines</v>
      </c>
      <c r="E164" s="3" t="str">
        <v>Vice Admiral</v>
      </c>
      <c r="F164" s="3">
        <v>0</v>
      </c>
      <c r="G164" s="3">
        <v>0</v>
      </c>
      <c r="H164" s="3" t="str">
        <v>Yes</v>
      </c>
      <c r="I164" s="3">
        <v>0</v>
      </c>
      <c r="J164" s="3" t="str">
        <v>South Blue</v>
      </c>
      <c r="K164" s="3" t="str">
        <v>Active</v>
      </c>
      <c r="L164" s="3" t="str">
        <v>Vice Admiral</v>
      </c>
      <c r="M164" s="3">
        <v>174</v>
      </c>
      <c r="N164" s="3" t="str">
        <v>Film Z</v>
      </c>
    </row>
    <row r="165" spans="2:14" x14ac:dyDescent="0.3">
      <c r="B165" s="3" t="str">
        <v>Madame Shyarly</v>
      </c>
      <c r="C165" s="3" t="str">
        <v>Female</v>
      </c>
      <c r="D165" s="3" t="str">
        <v>Fish-Man Island</v>
      </c>
      <c r="E165" s="3" t="str">
        <v>Fortune Teller</v>
      </c>
      <c r="F165" s="3">
        <v>0</v>
      </c>
      <c r="G165" s="3">
        <v>0</v>
      </c>
      <c r="H165" s="3" t="str">
        <v>Yes</v>
      </c>
      <c r="I165" s="3" t="str">
        <v>Observation</v>
      </c>
      <c r="J165" s="3" t="str">
        <v>Fish-Man Island</v>
      </c>
      <c r="K165" s="3" t="str">
        <v>Active</v>
      </c>
      <c r="L165" s="3" t="str">
        <v>Fortune Teller</v>
      </c>
      <c r="M165" s="3">
        <v>0</v>
      </c>
      <c r="N165" s="3" t="str">
        <v>Fish-Man Island</v>
      </c>
    </row>
    <row r="166" spans="2:14" x14ac:dyDescent="0.3">
      <c r="B166" s="3" t="str">
        <v>Sandersonia</v>
      </c>
      <c r="C166" s="3" t="str">
        <v>Female</v>
      </c>
      <c r="D166" s="3" t="str">
        <v>Kuja Pirates</v>
      </c>
      <c r="E166" s="3" t="str">
        <v>Warrior</v>
      </c>
      <c r="F166" s="3">
        <v>0</v>
      </c>
      <c r="G166" s="3">
        <v>30</v>
      </c>
      <c r="H166" s="3" t="str">
        <v>Yes</v>
      </c>
      <c r="I166" s="3" t="str">
        <v>Observation + Armament</v>
      </c>
      <c r="J166" s="3" t="str">
        <v>Amazon Lily</v>
      </c>
      <c r="K166" s="3" t="str">
        <v>Active</v>
      </c>
      <c r="L166" s="3" t="str">
        <v>Warrior</v>
      </c>
      <c r="M166" s="3">
        <v>453</v>
      </c>
      <c r="N166" s="3" t="str">
        <v>Amazon Lily</v>
      </c>
    </row>
    <row r="167" spans="2:14" x14ac:dyDescent="0.3">
      <c r="B167" s="3" t="str">
        <v>Charlotte Flampe</v>
      </c>
      <c r="C167" s="3" t="str">
        <v>Female</v>
      </c>
      <c r="D167" s="3" t="str">
        <v>Big Mom Pirates</v>
      </c>
      <c r="E167" s="3" t="str">
        <v>Officer</v>
      </c>
      <c r="F167" s="3">
        <v>0</v>
      </c>
      <c r="G167" s="3">
        <v>15</v>
      </c>
      <c r="H167" s="3" t="str">
        <v>No</v>
      </c>
      <c r="I167" s="3">
        <v>0</v>
      </c>
      <c r="J167" s="3" t="str">
        <v>South Blue</v>
      </c>
      <c r="K167" s="3" t="str">
        <v>Active</v>
      </c>
      <c r="L167" s="3" t="str">
        <v>Officer</v>
      </c>
      <c r="M167" s="3">
        <v>170</v>
      </c>
      <c r="N167" s="3" t="str">
        <v>Whole Cake Island</v>
      </c>
    </row>
    <row r="168" spans="2:14" x14ac:dyDescent="0.3">
      <c r="B168" s="3" t="str">
        <v>Boa Sandersonia</v>
      </c>
      <c r="C168" s="3" t="str">
        <v>Female</v>
      </c>
      <c r="D168" s="3" t="str">
        <v>Kuja Pirates</v>
      </c>
      <c r="E168" s="3" t="str">
        <v>Warrior</v>
      </c>
      <c r="F168" s="3">
        <v>0</v>
      </c>
      <c r="G168" s="3">
        <v>30</v>
      </c>
      <c r="H168" s="3" t="str">
        <v>Yes</v>
      </c>
      <c r="I168" s="3" t="str">
        <v>Observation + Armament</v>
      </c>
      <c r="J168" s="3" t="str">
        <v>Amazon Lily</v>
      </c>
      <c r="K168" s="3" t="str">
        <v>Active</v>
      </c>
      <c r="L168" s="3" t="str">
        <v>Warrior</v>
      </c>
      <c r="M168" s="3">
        <v>453</v>
      </c>
      <c r="N168" s="3" t="str">
        <v>Amazon Lily</v>
      </c>
    </row>
    <row r="169" spans="2:14" x14ac:dyDescent="0.3">
      <c r="B169" s="3" t="str">
        <v>Monet</v>
      </c>
      <c r="C169" s="3" t="str">
        <v>Female</v>
      </c>
      <c r="D169" s="3" t="str">
        <v>Donquixote Pirates</v>
      </c>
      <c r="E169" s="3" t="str">
        <v>Officer</v>
      </c>
      <c r="F169" s="3">
        <v>0</v>
      </c>
      <c r="G169" s="3">
        <v>30</v>
      </c>
      <c r="H169" s="3" t="str">
        <v>Yes</v>
      </c>
      <c r="I169" s="3">
        <v>0</v>
      </c>
      <c r="J169" s="3" t="str">
        <v>North Blue</v>
      </c>
      <c r="K169" s="3" t="str">
        <v>Deceased</v>
      </c>
      <c r="L169" s="3" t="str">
        <v>Officer</v>
      </c>
      <c r="M169" s="3">
        <v>227</v>
      </c>
      <c r="N169" s="3" t="str">
        <v>Punk Hazard</v>
      </c>
    </row>
    <row r="170" spans="2:14" x14ac:dyDescent="0.3">
      <c r="B170" s="3" t="str">
        <v>Karasu</v>
      </c>
      <c r="C170" s="3" t="str">
        <v>Female</v>
      </c>
      <c r="D170" s="3" t="str">
        <v>Revolutionary Army</v>
      </c>
      <c r="E170" s="3" t="str">
        <v>Commander</v>
      </c>
      <c r="F170" s="3">
        <v>0</v>
      </c>
      <c r="G170" s="3">
        <v>49</v>
      </c>
      <c r="H170" s="3" t="str">
        <v>Yes</v>
      </c>
      <c r="I170" s="3">
        <v>0</v>
      </c>
      <c r="J170" s="3" t="str">
        <v>North Blue</v>
      </c>
      <c r="K170" s="3" t="str">
        <v>Active</v>
      </c>
      <c r="L170" s="3" t="str">
        <v>Commander</v>
      </c>
      <c r="M170" s="3">
        <v>265</v>
      </c>
      <c r="N170" s="3" t="str">
        <v>Reverie</v>
      </c>
    </row>
    <row r="171" spans="2:14" x14ac:dyDescent="0.3">
      <c r="B171" s="3" t="str">
        <v>Carina</v>
      </c>
      <c r="C171" s="3" t="str">
        <v>Female</v>
      </c>
      <c r="D171" s="3" t="str">
        <v>Gran Tesoro</v>
      </c>
      <c r="E171" s="3" t="str">
        <v>Thief</v>
      </c>
      <c r="F171" s="3">
        <v>0</v>
      </c>
      <c r="G171" s="3">
        <v>0</v>
      </c>
      <c r="H171" s="3" t="str">
        <v>No</v>
      </c>
      <c r="I171" s="3">
        <v>0</v>
      </c>
      <c r="J171" s="3" t="str">
        <v>Grand Line</v>
      </c>
      <c r="K171" s="3" t="str">
        <v>Active</v>
      </c>
      <c r="L171" s="3" t="str">
        <v>Thief</v>
      </c>
      <c r="M171" s="3">
        <v>0</v>
      </c>
      <c r="N171" s="3" t="str">
        <v>Film Gold</v>
      </c>
    </row>
    <row r="172" spans="2:14" x14ac:dyDescent="0.3">
      <c r="B172" s="3" t="str">
        <v>Miss Goldenweek</v>
      </c>
      <c r="C172" s="3" t="str">
        <v>Female</v>
      </c>
      <c r="D172" s="3" t="str">
        <v>Baroque Works</v>
      </c>
      <c r="E172" s="3" t="str">
        <v>Officer</v>
      </c>
      <c r="F172" s="3">
        <v>0</v>
      </c>
      <c r="G172" s="3">
        <v>18</v>
      </c>
      <c r="H172" s="3" t="str">
        <v>No</v>
      </c>
      <c r="I172" s="3">
        <v>0</v>
      </c>
      <c r="J172" s="3" t="str">
        <v>East Blue</v>
      </c>
      <c r="K172" s="3" t="str">
        <v>Active</v>
      </c>
      <c r="L172" s="3" t="str">
        <v>Officer</v>
      </c>
      <c r="M172" s="3">
        <v>145</v>
      </c>
      <c r="N172" s="3" t="str">
        <v>Little Garden</v>
      </c>
    </row>
    <row r="173" spans="2:14" x14ac:dyDescent="0.3">
      <c r="B173" s="3" t="str">
        <v>Shirahoshi</v>
      </c>
      <c r="C173" s="3" t="str">
        <v>Female</v>
      </c>
      <c r="D173" s="3" t="str">
        <v>Ryugu Kingdom</v>
      </c>
      <c r="E173" s="3" t="str">
        <v>Princess</v>
      </c>
      <c r="F173" s="3">
        <v>0</v>
      </c>
      <c r="G173" s="3">
        <v>16</v>
      </c>
      <c r="H173" s="3" t="str">
        <v>No</v>
      </c>
      <c r="I173" s="3" t="str">
        <v>Observation</v>
      </c>
      <c r="J173" s="3" t="str">
        <v>Fish-Man Island</v>
      </c>
      <c r="K173" s="3" t="str">
        <v>Active</v>
      </c>
      <c r="L173" s="3" t="str">
        <v>Princess</v>
      </c>
      <c r="M173" s="3">
        <v>1187</v>
      </c>
      <c r="N173" s="3" t="str">
        <v>Fish-Man Island</v>
      </c>
    </row>
    <row r="174" spans="2:14" x14ac:dyDescent="0.3">
      <c r="B174" s="3" t="str">
        <v>Viola's sister Scarlet</v>
      </c>
      <c r="C174" s="3" t="str">
        <v>Female</v>
      </c>
      <c r="D174" s="3" t="str">
        <v>Dressrosa</v>
      </c>
      <c r="E174" s="3" t="str">
        <v>Princess</v>
      </c>
      <c r="F174" s="3">
        <v>0</v>
      </c>
      <c r="G174" s="3">
        <v>0</v>
      </c>
      <c r="H174" s="3" t="str">
        <v>No</v>
      </c>
      <c r="I174" s="3">
        <v>0</v>
      </c>
      <c r="J174" s="3" t="str">
        <v>Grand Line</v>
      </c>
      <c r="K174" s="3" t="str">
        <v>Deceased</v>
      </c>
      <c r="L174" s="3" t="str">
        <v>Princess</v>
      </c>
      <c r="M174" s="3">
        <v>0</v>
      </c>
      <c r="N174" s="3" t="str">
        <v>Dressrosa flashback</v>
      </c>
    </row>
    <row r="175" spans="2:14" x14ac:dyDescent="0.3">
      <c r="B175" s="3" t="str">
        <v>Vista</v>
      </c>
      <c r="C175" s="3" t="str">
        <v>Male</v>
      </c>
      <c r="D175" s="3" t="str">
        <v>Whitebeard Pirates</v>
      </c>
      <c r="E175" s="3" t="str">
        <v>Commander</v>
      </c>
      <c r="F175" s="3">
        <v>0</v>
      </c>
      <c r="G175" s="3">
        <v>0</v>
      </c>
      <c r="H175" s="3" t="str">
        <v>No</v>
      </c>
      <c r="I175" s="3" t="str">
        <v>Armament</v>
      </c>
      <c r="J175" s="3" t="str">
        <v>Grand Line</v>
      </c>
      <c r="K175" s="3" t="str">
        <v>Active</v>
      </c>
      <c r="L175" s="3" t="str">
        <v>Commander</v>
      </c>
      <c r="M175" s="3">
        <v>328</v>
      </c>
      <c r="N175" s="3" t="str">
        <v>Marineford</v>
      </c>
    </row>
    <row r="176" spans="2:14" x14ac:dyDescent="0.3">
      <c r="B176" s="3" t="str">
        <v>Jozu</v>
      </c>
      <c r="C176" s="3" t="str">
        <v>Male</v>
      </c>
      <c r="D176" s="3" t="str">
        <v>Whitebeard Pirates</v>
      </c>
      <c r="E176" s="3" t="str">
        <v>Commander</v>
      </c>
      <c r="F176" s="3">
        <v>0</v>
      </c>
      <c r="G176" s="3">
        <v>0</v>
      </c>
      <c r="H176" s="3" t="str">
        <v>Yes</v>
      </c>
      <c r="I176" s="3" t="str">
        <v>Armament</v>
      </c>
      <c r="J176" s="3" t="str">
        <v>Grand Line</v>
      </c>
      <c r="K176" s="3" t="str">
        <v>Active</v>
      </c>
      <c r="L176" s="3" t="str">
        <v>Commander</v>
      </c>
      <c r="M176" s="3">
        <v>503</v>
      </c>
      <c r="N176" s="3" t="str">
        <v>Marineford</v>
      </c>
    </row>
    <row r="177" spans="2:14" x14ac:dyDescent="0.3">
      <c r="B177" s="3" t="str">
        <v>Silvers Rayleigh</v>
      </c>
      <c r="C177" s="3" t="str">
        <v>Male</v>
      </c>
      <c r="D177" s="3" t="str">
        <v>Roger Pirates</v>
      </c>
      <c r="E177" s="3" t="str">
        <v>Vice Captain</v>
      </c>
      <c r="F177" s="3">
        <v>0</v>
      </c>
      <c r="G177" s="3">
        <v>0</v>
      </c>
      <c r="H177" s="3" t="str">
        <v>No</v>
      </c>
      <c r="I177" s="3" t="str">
        <v>All Three</v>
      </c>
      <c r="J177" s="3" t="str">
        <v>Grand Line</v>
      </c>
      <c r="K177" s="3" t="str">
        <v>Active</v>
      </c>
      <c r="L177" s="3" t="str">
        <v>Dark King</v>
      </c>
      <c r="M177" s="3">
        <v>188</v>
      </c>
      <c r="N177" s="3" t="str">
        <v>Sabaody Archipelago</v>
      </c>
    </row>
    <row r="178" spans="2:14" x14ac:dyDescent="0.3">
      <c r="B178" s="3" t="str">
        <v>Vinsmoke Yonji</v>
      </c>
      <c r="C178" s="3" t="str">
        <v>Male</v>
      </c>
      <c r="D178" s="3" t="str">
        <v>Germa 66</v>
      </c>
      <c r="E178" s="3" t="str">
        <v>Prince</v>
      </c>
      <c r="F178" s="3">
        <v>0</v>
      </c>
      <c r="G178" s="3">
        <v>21</v>
      </c>
      <c r="H178" s="3" t="str">
        <v>No</v>
      </c>
      <c r="I178" s="3">
        <v>0</v>
      </c>
      <c r="J178" s="3" t="str">
        <v>North Blue</v>
      </c>
      <c r="K178" s="3" t="str">
        <v>Active</v>
      </c>
      <c r="L178" s="3" t="str">
        <v>Prince</v>
      </c>
      <c r="M178" s="3">
        <v>194</v>
      </c>
      <c r="N178" s="3" t="str">
        <v>Whole Cake Island</v>
      </c>
    </row>
    <row r="179" spans="2:14" x14ac:dyDescent="0.3">
      <c r="B179" s="3" t="str">
        <v>Kawamatsu</v>
      </c>
      <c r="C179" s="3" t="str">
        <v>Male</v>
      </c>
      <c r="D179" s="3" t="str">
        <v>Nine Red Scabbards</v>
      </c>
      <c r="E179" s="3" t="str">
        <v>Samurai</v>
      </c>
      <c r="F179" s="3">
        <v>0</v>
      </c>
      <c r="G179" s="3">
        <v>0</v>
      </c>
      <c r="H179" s="3" t="str">
        <v>No</v>
      </c>
      <c r="I179" s="3" t="str">
        <v>Armament + Observation</v>
      </c>
      <c r="J179" s="3" t="str">
        <v>Wano</v>
      </c>
      <c r="K179" s="3" t="str">
        <v>Active</v>
      </c>
      <c r="L179" s="3" t="str">
        <v>Samurai</v>
      </c>
      <c r="M179" s="3">
        <v>271</v>
      </c>
      <c r="N179" s="3" t="str">
        <v>Wano</v>
      </c>
    </row>
    <row r="180" spans="2:14" x14ac:dyDescent="0.3">
      <c r="B180" s="3" t="str">
        <v>Scopper Gaban</v>
      </c>
      <c r="C180" s="3" t="str">
        <v>Male</v>
      </c>
      <c r="D180" s="3" t="str">
        <v>Roger Pirates</v>
      </c>
      <c r="E180" s="3" t="str">
        <v>Officer</v>
      </c>
      <c r="F180" s="3">
        <v>0</v>
      </c>
      <c r="G180" s="3">
        <v>0</v>
      </c>
      <c r="H180" s="3" t="str">
        <v>No</v>
      </c>
      <c r="I180" s="3">
        <v>0</v>
      </c>
      <c r="J180" s="3" t="str">
        <v>Grand Line</v>
      </c>
      <c r="K180" s="3" t="str">
        <v>Unknown</v>
      </c>
      <c r="L180" s="3" t="str">
        <v>Officer</v>
      </c>
      <c r="M180" s="3">
        <v>0</v>
      </c>
      <c r="N180" s="3" t="str">
        <v>Oden's flashback</v>
      </c>
    </row>
    <row r="181" spans="2:14" x14ac:dyDescent="0.3">
      <c r="B181" s="3" t="str">
        <v>Vander Decken IX</v>
      </c>
      <c r="C181" s="3" t="str">
        <v>Male</v>
      </c>
      <c r="D181" s="3" t="str">
        <v>Flying Pirates</v>
      </c>
      <c r="E181" s="3" t="str">
        <v>Captain</v>
      </c>
      <c r="F181" s="3">
        <v>0</v>
      </c>
      <c r="G181" s="3">
        <v>35</v>
      </c>
      <c r="H181" s="3" t="str">
        <v>Yes</v>
      </c>
      <c r="I181" s="3">
        <v>0</v>
      </c>
      <c r="J181" s="3" t="str">
        <v>Fish-Man Island</v>
      </c>
      <c r="K181" s="3" t="str">
        <v>Imprisoned</v>
      </c>
      <c r="L181" s="3" t="str">
        <v>Captain</v>
      </c>
      <c r="M181" s="3">
        <v>352</v>
      </c>
      <c r="N181" s="3" t="str">
        <v>Fish-Man Island</v>
      </c>
    </row>
    <row r="182" spans="2:14" x14ac:dyDescent="0.3">
      <c r="B182" s="3" t="str">
        <v>Raizo</v>
      </c>
      <c r="C182" s="3" t="str">
        <v>Male</v>
      </c>
      <c r="D182" s="3" t="str">
        <v>Nine Red Scabbards</v>
      </c>
      <c r="E182" s="3" t="str">
        <v>Ninja</v>
      </c>
      <c r="F182" s="3">
        <v>0</v>
      </c>
      <c r="G182" s="3">
        <v>0</v>
      </c>
      <c r="H182" s="3" t="str">
        <v>No</v>
      </c>
      <c r="I182" s="3">
        <v>0</v>
      </c>
      <c r="J182" s="3" t="str">
        <v>Wano</v>
      </c>
      <c r="K182" s="3" t="str">
        <v>Active</v>
      </c>
      <c r="L182" s="3" t="str">
        <v>Ninja</v>
      </c>
      <c r="M182" s="3">
        <v>311</v>
      </c>
      <c r="N182" s="3" t="str">
        <v>Zou</v>
      </c>
    </row>
    <row r="183" spans="2:14" x14ac:dyDescent="0.3">
      <c r="B183" s="3" t="str">
        <v>Vinsmoke Judge</v>
      </c>
      <c r="C183" s="3" t="str">
        <v>Male</v>
      </c>
      <c r="D183" s="3" t="str">
        <v>Germa 66</v>
      </c>
      <c r="E183" s="3" t="str">
        <v>King / Scientist</v>
      </c>
      <c r="F183" s="3">
        <v>0</v>
      </c>
      <c r="G183" s="3">
        <v>56</v>
      </c>
      <c r="H183" s="3" t="str">
        <v>No</v>
      </c>
      <c r="I183" s="3">
        <v>0</v>
      </c>
      <c r="J183" s="3" t="str">
        <v>North Blue</v>
      </c>
      <c r="K183" s="3" t="str">
        <v>Active</v>
      </c>
      <c r="L183" s="3" t="str">
        <v>King</v>
      </c>
      <c r="M183" s="3">
        <v>272</v>
      </c>
      <c r="N183" s="3" t="str">
        <v>Whole Cake Island</v>
      </c>
    </row>
    <row r="184" spans="2:14" x14ac:dyDescent="0.3">
      <c r="B184" s="3" t="str">
        <v>Kin'emon</v>
      </c>
      <c r="C184" s="3" t="str">
        <v>Male</v>
      </c>
      <c r="D184" s="3" t="str">
        <v>Nine Red Scabbards</v>
      </c>
      <c r="E184" s="3" t="str">
        <v>Samurai</v>
      </c>
      <c r="F184" s="3">
        <v>0</v>
      </c>
      <c r="G184" s="3">
        <v>36</v>
      </c>
      <c r="H184" s="3" t="str">
        <v>No</v>
      </c>
      <c r="I184" s="3" t="str">
        <v>Armament + Observation</v>
      </c>
      <c r="J184" s="3" t="str">
        <v>Wano</v>
      </c>
      <c r="K184" s="3" t="str">
        <v>Active</v>
      </c>
      <c r="L184" s="3" t="str">
        <v>Samurai</v>
      </c>
      <c r="M184" s="3">
        <v>295</v>
      </c>
      <c r="N184" s="3" t="str">
        <v>Punk Hazard</v>
      </c>
    </row>
    <row r="185" spans="2:14" x14ac:dyDescent="0.3">
      <c r="B185" s="3" t="str">
        <v>Inuarashi</v>
      </c>
      <c r="C185" s="3" t="str">
        <v>Male</v>
      </c>
      <c r="D185" s="3" t="str">
        <v>Mink Tribe</v>
      </c>
      <c r="E185" s="3" t="str">
        <v>Duke</v>
      </c>
      <c r="F185" s="3">
        <v>0</v>
      </c>
      <c r="G185" s="3">
        <v>0</v>
      </c>
      <c r="H185" s="3" t="str">
        <v>No</v>
      </c>
      <c r="I185" s="3" t="str">
        <v>Armament + Observation</v>
      </c>
      <c r="J185" s="3" t="str">
        <v>Zou</v>
      </c>
      <c r="K185" s="3" t="str">
        <v>Active</v>
      </c>
      <c r="L185" s="3" t="str">
        <v>Duke</v>
      </c>
      <c r="M185" s="3">
        <v>511</v>
      </c>
      <c r="N185" s="3" t="str">
        <v>Zou</v>
      </c>
    </row>
    <row r="186" spans="2:14" x14ac:dyDescent="0.3">
      <c r="B186" s="3" t="str">
        <v>Nekomamushi</v>
      </c>
      <c r="C186" s="3" t="str">
        <v>Male</v>
      </c>
      <c r="D186" s="3" t="str">
        <v>Mink Tribe</v>
      </c>
      <c r="E186" s="3" t="str">
        <v>Duke</v>
      </c>
      <c r="F186" s="3">
        <v>0</v>
      </c>
      <c r="G186" s="3">
        <v>0</v>
      </c>
      <c r="H186" s="3" t="str">
        <v>No</v>
      </c>
      <c r="I186" s="3" t="str">
        <v>Armament + Observation</v>
      </c>
      <c r="J186" s="3" t="str">
        <v>Zou</v>
      </c>
      <c r="K186" s="3" t="str">
        <v>Active</v>
      </c>
      <c r="L186" s="3" t="str">
        <v>Duke</v>
      </c>
      <c r="M186" s="3">
        <v>522</v>
      </c>
      <c r="N186" s="3" t="str">
        <v>Zou</v>
      </c>
    </row>
    <row r="187" spans="2:14" x14ac:dyDescent="0.3">
      <c r="B187" s="3" t="str">
        <v>Ashura Doji</v>
      </c>
      <c r="C187" s="3" t="str">
        <v>Male</v>
      </c>
      <c r="D187" s="3" t="str">
        <v>Nine Red Scabbards</v>
      </c>
      <c r="E187" s="3" t="str">
        <v>Samurai</v>
      </c>
      <c r="F187" s="3">
        <v>0</v>
      </c>
      <c r="G187" s="3">
        <v>0</v>
      </c>
      <c r="H187" s="3" t="str">
        <v>No</v>
      </c>
      <c r="I187" s="3" t="str">
        <v>Armament + Observation</v>
      </c>
      <c r="J187" s="3" t="str">
        <v>Wano</v>
      </c>
      <c r="K187" s="3" t="str">
        <v>Active</v>
      </c>
      <c r="L187" s="3" t="str">
        <v>Samurai</v>
      </c>
      <c r="M187" s="3">
        <v>544</v>
      </c>
      <c r="N187" s="3" t="str">
        <v>Wano</v>
      </c>
    </row>
    <row r="188" spans="2:14" x14ac:dyDescent="0.3">
      <c r="B188" s="3" t="str">
        <v>Denjiro</v>
      </c>
      <c r="C188" s="3" t="str">
        <v>Male</v>
      </c>
      <c r="D188" s="3" t="str">
        <v>Nine Red Scabbards</v>
      </c>
      <c r="E188" s="3" t="str">
        <v>Samurai</v>
      </c>
      <c r="F188" s="3">
        <v>0</v>
      </c>
      <c r="G188" s="3">
        <v>0</v>
      </c>
      <c r="H188" s="3" t="str">
        <v>No</v>
      </c>
      <c r="I188" s="3" t="str">
        <v>Armament + Observation</v>
      </c>
      <c r="J188" s="3" t="str">
        <v>Wano</v>
      </c>
      <c r="K188" s="3" t="str">
        <v>Active</v>
      </c>
      <c r="L188" s="3" t="str">
        <v>Samurai</v>
      </c>
      <c r="M188" s="3">
        <v>306</v>
      </c>
      <c r="N188" s="3" t="str">
        <v>Wano</v>
      </c>
    </row>
    <row r="189" spans="2:14" x14ac:dyDescent="0.3">
      <c r="B189" s="3" t="str">
        <v>Gan Fall</v>
      </c>
      <c r="C189" s="3" t="str">
        <v>Male</v>
      </c>
      <c r="D189" s="3" t="str">
        <v>Skypiea</v>
      </c>
      <c r="E189" s="3" t="str">
        <v>Former God</v>
      </c>
      <c r="F189" s="3">
        <v>0</v>
      </c>
      <c r="G189" s="3">
        <v>68</v>
      </c>
      <c r="H189" s="3" t="str">
        <v>No</v>
      </c>
      <c r="I189" s="3">
        <v>0</v>
      </c>
      <c r="J189" s="3" t="str">
        <v>Sky Island</v>
      </c>
      <c r="K189" s="3" t="str">
        <v>Active</v>
      </c>
      <c r="L189" s="3" t="str">
        <v>Former God</v>
      </c>
      <c r="M189" s="3">
        <v>180</v>
      </c>
      <c r="N189" s="3" t="str">
        <v>Skypiea</v>
      </c>
    </row>
    <row r="190" spans="2:14" x14ac:dyDescent="0.3">
      <c r="B190" s="3" t="str">
        <v>Wyper</v>
      </c>
      <c r="C190" s="3" t="str">
        <v>Male</v>
      </c>
      <c r="D190" s="3" t="str">
        <v>Shandia</v>
      </c>
      <c r="E190" s="3" t="str">
        <v>Warrior</v>
      </c>
      <c r="F190" s="3">
        <v>0</v>
      </c>
      <c r="G190" s="3">
        <v>24</v>
      </c>
      <c r="H190" s="3" t="str">
        <v>No</v>
      </c>
      <c r="I190" s="3">
        <v>0</v>
      </c>
      <c r="J190" s="3" t="str">
        <v>Sky Island</v>
      </c>
      <c r="K190" s="3" t="str">
        <v>Active</v>
      </c>
      <c r="L190" s="3" t="str">
        <v>Warrior</v>
      </c>
      <c r="M190" s="3">
        <v>183</v>
      </c>
      <c r="N190" s="3" t="str">
        <v>Skypiea</v>
      </c>
    </row>
    <row r="191" spans="2:14" x14ac:dyDescent="0.3">
      <c r="B191" s="3" t="str">
        <v>Donquixote Rosinante</v>
      </c>
      <c r="C191" s="3" t="str">
        <v>Male</v>
      </c>
      <c r="D191" s="3" t="str">
        <v>Marines / Donquixote Family</v>
      </c>
      <c r="E191" s="3" t="str">
        <v>Marine Officer</v>
      </c>
      <c r="F191" s="3">
        <v>0</v>
      </c>
      <c r="G191" s="3">
        <v>26</v>
      </c>
      <c r="H191" s="3" t="str">
        <v>Yes</v>
      </c>
      <c r="I191" s="3">
        <v>0</v>
      </c>
      <c r="J191" s="3" t="str">
        <v>North Blue</v>
      </c>
      <c r="K191" s="3" t="str">
        <v>Deceased</v>
      </c>
      <c r="L191" s="3" t="str">
        <v>Officer</v>
      </c>
      <c r="M191" s="3">
        <v>293</v>
      </c>
      <c r="N191" s="3" t="str">
        <v>Dressrosa flashback</v>
      </c>
    </row>
    <row r="192" spans="2:14" x14ac:dyDescent="0.3">
      <c r="B192" s="3" t="str">
        <v>Mont Blanc Cricket</v>
      </c>
      <c r="C192" s="3" t="str">
        <v>Male</v>
      </c>
      <c r="D192" s="3" t="str">
        <v>Saruyama Alliance</v>
      </c>
      <c r="E192" s="3" t="str">
        <v>Leader</v>
      </c>
      <c r="F192" s="3">
        <v>0</v>
      </c>
      <c r="G192" s="3">
        <v>43</v>
      </c>
      <c r="H192" s="3" t="str">
        <v>No</v>
      </c>
      <c r="I192" s="3">
        <v>0</v>
      </c>
      <c r="J192" s="3" t="str">
        <v>North Blue</v>
      </c>
      <c r="K192" s="3" t="str">
        <v>Active</v>
      </c>
      <c r="L192" s="3" t="str">
        <v>Leader</v>
      </c>
      <c r="M192" s="3">
        <v>222</v>
      </c>
      <c r="N192" s="3" t="str">
        <v>Jaya</v>
      </c>
    </row>
    <row r="193" spans="2:14" x14ac:dyDescent="0.3">
      <c r="B193" s="3" t="str">
        <v>Vinsmoke Ichiji</v>
      </c>
      <c r="C193" s="3" t="str">
        <v>Male</v>
      </c>
      <c r="D193" s="3" t="str">
        <v>Germa 66</v>
      </c>
      <c r="E193" s="3" t="str">
        <v>Prince</v>
      </c>
      <c r="F193" s="3">
        <v>0</v>
      </c>
      <c r="G193" s="3">
        <v>21</v>
      </c>
      <c r="H193" s="3" t="str">
        <v>No</v>
      </c>
      <c r="I193" s="3">
        <v>0</v>
      </c>
      <c r="J193" s="3" t="str">
        <v>North Blue</v>
      </c>
      <c r="K193" s="3" t="str">
        <v>Active</v>
      </c>
      <c r="L193" s="3" t="str">
        <v>Prince</v>
      </c>
      <c r="M193" s="3">
        <v>186</v>
      </c>
      <c r="N193" s="3" t="str">
        <v>Whole Cake Island</v>
      </c>
    </row>
    <row r="194" spans="2:14" x14ac:dyDescent="0.3">
      <c r="B194" s="3" t="str">
        <v>Tom</v>
      </c>
      <c r="C194" s="3" t="str">
        <v>Male</v>
      </c>
      <c r="D194" s="3" t="str">
        <v>Tom's Workers</v>
      </c>
      <c r="E194" s="3" t="str">
        <v>Shipwright</v>
      </c>
      <c r="F194" s="3">
        <v>0</v>
      </c>
      <c r="G194" s="3">
        <v>0</v>
      </c>
      <c r="H194" s="3" t="str">
        <v>No</v>
      </c>
      <c r="I194" s="3">
        <v>0</v>
      </c>
      <c r="J194" s="3" t="str">
        <v>Water 7</v>
      </c>
      <c r="K194" s="3" t="str">
        <v>Deceased</v>
      </c>
      <c r="L194" s="3" t="str">
        <v>Shipwright</v>
      </c>
      <c r="M194" s="3">
        <v>296</v>
      </c>
      <c r="N194" s="3" t="str">
        <v>Water 7 flashback</v>
      </c>
    </row>
    <row r="195" spans="2:14" x14ac:dyDescent="0.3">
      <c r="B195" s="3" t="str">
        <v>Vergo</v>
      </c>
      <c r="C195" s="3" t="str">
        <v>Male</v>
      </c>
      <c r="D195" s="3" t="str">
        <v>Marines / Donquixote Pirates</v>
      </c>
      <c r="E195" s="3" t="str">
        <v>Vice Admiral</v>
      </c>
      <c r="F195" s="3">
        <v>0</v>
      </c>
      <c r="G195" s="3">
        <v>41</v>
      </c>
      <c r="H195" s="3" t="str">
        <v>No</v>
      </c>
      <c r="I195" s="3" t="str">
        <v>Armament</v>
      </c>
      <c r="J195" s="3" t="str">
        <v>North Blue</v>
      </c>
      <c r="K195" s="3" t="str">
        <v>Deceased</v>
      </c>
      <c r="L195" s="3" t="str">
        <v>Vice Admiral</v>
      </c>
      <c r="M195" s="3">
        <v>247</v>
      </c>
      <c r="N195" s="3" t="str">
        <v>Punk Hazard</v>
      </c>
    </row>
    <row r="196" spans="2:14" x14ac:dyDescent="0.3">
      <c r="B196" s="3" t="str">
        <v>Paulie</v>
      </c>
      <c r="C196" s="3" t="str">
        <v>Male</v>
      </c>
      <c r="D196" s="3" t="str">
        <v>Galley-La Company</v>
      </c>
      <c r="E196" s="3" t="str">
        <v>Shipwright</v>
      </c>
      <c r="F196" s="3">
        <v>0</v>
      </c>
      <c r="G196" s="3">
        <v>23</v>
      </c>
      <c r="H196" s="3" t="str">
        <v>No</v>
      </c>
      <c r="I196" s="3">
        <v>0</v>
      </c>
      <c r="J196" s="3" t="str">
        <v>Water 7</v>
      </c>
      <c r="K196" s="3" t="str">
        <v>Active</v>
      </c>
      <c r="L196" s="3" t="str">
        <v>Shipwright</v>
      </c>
      <c r="M196" s="3">
        <v>195</v>
      </c>
      <c r="N196" s="3" t="str">
        <v>Water 7</v>
      </c>
    </row>
    <row r="197" spans="2:14" x14ac:dyDescent="0.3">
      <c r="B197" s="3" t="str">
        <v>Iceburg</v>
      </c>
      <c r="C197" s="3" t="str">
        <v>Male</v>
      </c>
      <c r="D197" s="3" t="str">
        <v>Water 7</v>
      </c>
      <c r="E197" s="3" t="str">
        <v>Mayor / Shipwright</v>
      </c>
      <c r="F197" s="3">
        <v>0</v>
      </c>
      <c r="G197" s="3">
        <v>38</v>
      </c>
      <c r="H197" s="3" t="str">
        <v>No</v>
      </c>
      <c r="I197" s="3">
        <v>0</v>
      </c>
      <c r="J197" s="3" t="str">
        <v>Water 7</v>
      </c>
      <c r="K197" s="3" t="str">
        <v>Active</v>
      </c>
      <c r="L197" s="3" t="str">
        <v>Mayor</v>
      </c>
      <c r="M197" s="3">
        <v>199</v>
      </c>
      <c r="N197" s="3" t="str">
        <v>Water 7</v>
      </c>
    </row>
    <row r="198" spans="2:14" x14ac:dyDescent="0.3">
      <c r="B198" s="3" t="str">
        <v>Kozuki Oden</v>
      </c>
      <c r="C198" s="3" t="str">
        <v>Male</v>
      </c>
      <c r="D198" s="3" t="str">
        <v>Kozuki Family / Whitebeard / Roger</v>
      </c>
      <c r="E198" s="3" t="str">
        <v>Samurai</v>
      </c>
      <c r="F198" s="3">
        <v>0</v>
      </c>
      <c r="G198" s="3">
        <v>39</v>
      </c>
      <c r="H198" s="3" t="str">
        <v>No</v>
      </c>
      <c r="I198" s="3" t="str">
        <v>Armament + Conqueror</v>
      </c>
      <c r="J198" s="3" t="str">
        <v>Wano</v>
      </c>
      <c r="K198" s="3" t="str">
        <v>Deceased</v>
      </c>
      <c r="L198" s="3" t="str">
        <v>Daimyo</v>
      </c>
      <c r="M198" s="3">
        <v>382</v>
      </c>
      <c r="N198" s="3" t="str">
        <v>Wano flashback</v>
      </c>
    </row>
    <row r="199" spans="2:14" x14ac:dyDescent="0.3">
      <c r="B199" s="3" t="str">
        <v>Vinsmoke Niji</v>
      </c>
      <c r="C199" s="3" t="str">
        <v>Male</v>
      </c>
      <c r="D199" s="3" t="str">
        <v>Germa 66</v>
      </c>
      <c r="E199" s="3" t="str">
        <v>Prince</v>
      </c>
      <c r="F199" s="3">
        <v>0</v>
      </c>
      <c r="G199" s="3">
        <v>21</v>
      </c>
      <c r="H199" s="3" t="str">
        <v>No</v>
      </c>
      <c r="I199" s="3">
        <v>0</v>
      </c>
      <c r="J199" s="3" t="str">
        <v>North Blue</v>
      </c>
      <c r="K199" s="3" t="str">
        <v>Active</v>
      </c>
      <c r="L199" s="3" t="str">
        <v>Prince</v>
      </c>
      <c r="M199" s="3">
        <v>185</v>
      </c>
      <c r="N199" s="3" t="str">
        <v>Whole Cake Island</v>
      </c>
    </row>
  </sheetData>
  <mergeCells count="1">
    <mergeCell ref="B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6434-61DD-4680-997B-37662D70126B}">
  <dimension ref="B3:N201"/>
  <sheetViews>
    <sheetView workbookViewId="0">
      <selection activeCell="D2" sqref="D2"/>
    </sheetView>
  </sheetViews>
  <sheetFormatPr defaultRowHeight="14.4" x14ac:dyDescent="0.3"/>
  <cols>
    <col min="2" max="2" width="28.109375" bestFit="1" customWidth="1"/>
    <col min="3" max="3" width="7.6640625" bestFit="1" customWidth="1"/>
    <col min="4" max="4" width="36" bestFit="1" customWidth="1"/>
    <col min="5" max="5" width="19.44140625" bestFit="1" customWidth="1"/>
    <col min="6" max="6" width="9.6640625" bestFit="1" customWidth="1"/>
    <col min="7" max="7" width="4.44140625" bestFit="1" customWidth="1"/>
    <col min="8" max="8" width="10.5546875" bestFit="1" customWidth="1"/>
    <col min="9" max="9" width="34.33203125" bestFit="1" customWidth="1"/>
    <col min="10" max="10" width="14.88671875" bestFit="1" customWidth="1"/>
    <col min="11" max="11" width="10.88671875" bestFit="1" customWidth="1"/>
    <col min="12" max="12" width="17.88671875" bestFit="1" customWidth="1"/>
    <col min="13" max="13" width="10.5546875" bestFit="1" customWidth="1"/>
    <col min="14" max="14" width="23.88671875" bestFit="1" customWidth="1"/>
  </cols>
  <sheetData>
    <row r="3" spans="2:14" x14ac:dyDescent="0.3">
      <c r="B3" s="12" t="s">
        <v>423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6" spans="2:14" x14ac:dyDescent="0.3">
      <c r="B6" s="2" t="str" cm="1">
        <f t="array" ref="B6:N201">_xlfn.SORTBY(Dataset!A1:M196,Dataset!F1:F196,-1)</f>
        <v>Character</v>
      </c>
      <c r="C6" s="2" t="str">
        <v>Gender</v>
      </c>
      <c r="D6" s="2" t="str">
        <v>Affiliation</v>
      </c>
      <c r="E6" s="2" t="str">
        <v>Role</v>
      </c>
      <c r="F6" s="2" t="str">
        <v>Bounty_M</v>
      </c>
      <c r="G6" s="2" t="str">
        <v>Age</v>
      </c>
      <c r="H6" s="2" t="str">
        <v>Devil_Fruit</v>
      </c>
      <c r="I6" s="2" t="str">
        <v>Haki</v>
      </c>
      <c r="J6" s="2" t="str">
        <v>Origin</v>
      </c>
      <c r="K6" s="2" t="str">
        <v>Status</v>
      </c>
      <c r="L6" s="2" t="str">
        <v>Rank</v>
      </c>
      <c r="M6" s="2" t="str">
        <v>Height_cm</v>
      </c>
      <c r="N6" s="2" t="str">
        <v>First_Appearance</v>
      </c>
    </row>
    <row r="7" spans="2:14" x14ac:dyDescent="0.3">
      <c r="B7" s="3" t="str">
        <v>Morley</v>
      </c>
      <c r="C7" s="3" t="str">
        <v>Female</v>
      </c>
      <c r="D7" s="3" t="str">
        <v>Revolutionary Army</v>
      </c>
      <c r="E7" s="3" t="str">
        <v>Commander</v>
      </c>
      <c r="F7" s="3">
        <v>0</v>
      </c>
      <c r="G7" s="3">
        <v>160</v>
      </c>
      <c r="H7" s="3" t="str">
        <v>Yes</v>
      </c>
      <c r="I7" s="3">
        <v>0</v>
      </c>
      <c r="J7" s="3" t="str">
        <v>West Blue</v>
      </c>
      <c r="K7" s="3" t="str">
        <v>Active</v>
      </c>
      <c r="L7" s="3" t="str">
        <v>Commander</v>
      </c>
      <c r="M7" s="3">
        <v>1253</v>
      </c>
      <c r="N7" s="3" t="str">
        <v>Reverie</v>
      </c>
    </row>
    <row r="8" spans="2:14" x14ac:dyDescent="0.3">
      <c r="B8" s="3" t="str">
        <v>Brook</v>
      </c>
      <c r="C8" s="3" t="str">
        <v>Male</v>
      </c>
      <c r="D8" s="3" t="str">
        <v>Straw Hat Pirates</v>
      </c>
      <c r="E8" s="3" t="str">
        <v>Musician</v>
      </c>
      <c r="F8" s="3">
        <v>383</v>
      </c>
      <c r="G8" s="3">
        <v>90</v>
      </c>
      <c r="H8" s="3" t="str">
        <v>Yes</v>
      </c>
      <c r="I8" s="3">
        <v>0</v>
      </c>
      <c r="J8" s="3" t="str">
        <v>West Blue</v>
      </c>
      <c r="K8" s="3" t="str">
        <v>Active</v>
      </c>
      <c r="L8" s="3" t="str">
        <v>Musician</v>
      </c>
      <c r="M8" s="3">
        <v>277</v>
      </c>
      <c r="N8" s="3" t="str">
        <v>Thriller Bark</v>
      </c>
    </row>
    <row r="9" spans="2:14" x14ac:dyDescent="0.3">
      <c r="B9" s="3" t="str">
        <v>Gloriosa</v>
      </c>
      <c r="C9" s="3" t="str">
        <v>Female</v>
      </c>
      <c r="D9" s="3" t="str">
        <v>Kuja Pirates</v>
      </c>
      <c r="E9" s="3" t="str">
        <v>Former Empress</v>
      </c>
      <c r="F9" s="3">
        <v>0</v>
      </c>
      <c r="G9" s="3">
        <v>88</v>
      </c>
      <c r="H9" s="3" t="str">
        <v>No</v>
      </c>
      <c r="I9" s="3">
        <v>0</v>
      </c>
      <c r="J9" s="3" t="str">
        <v>Amazon Lily</v>
      </c>
      <c r="K9" s="3" t="str">
        <v>Active</v>
      </c>
      <c r="L9" s="3" t="str">
        <v>Former Empress</v>
      </c>
      <c r="M9" s="3">
        <v>165</v>
      </c>
      <c r="N9" s="3" t="str">
        <v>Amazon Lily</v>
      </c>
    </row>
    <row r="10" spans="2:14" x14ac:dyDescent="0.3">
      <c r="B10" s="3" t="str">
        <v>Hajrudin</v>
      </c>
      <c r="C10" s="3" t="str">
        <v>Male</v>
      </c>
      <c r="D10" s="3" t="str">
        <v>New Giant Warrior Pirates</v>
      </c>
      <c r="E10" s="3" t="str">
        <v>Captain</v>
      </c>
      <c r="F10" s="3">
        <v>100</v>
      </c>
      <c r="G10" s="3">
        <v>81</v>
      </c>
      <c r="H10" s="3" t="str">
        <v>No</v>
      </c>
      <c r="I10" s="3">
        <v>0</v>
      </c>
      <c r="J10" s="3" t="str">
        <v>Grand Line</v>
      </c>
      <c r="K10" s="3" t="str">
        <v>Active</v>
      </c>
      <c r="L10" s="3" t="str">
        <v>Captain</v>
      </c>
      <c r="M10" s="3">
        <v>2200</v>
      </c>
      <c r="N10" s="3" t="str">
        <v>Dressrosa</v>
      </c>
    </row>
    <row r="11" spans="2:14" x14ac:dyDescent="0.3">
      <c r="B11" s="3" t="str">
        <v>Sengoku</v>
      </c>
      <c r="C11" s="3" t="str">
        <v>Male</v>
      </c>
      <c r="D11" s="3" t="str">
        <v>Marines</v>
      </c>
      <c r="E11" s="3" t="str">
        <v>Fleet Admiral</v>
      </c>
      <c r="F11" s="3">
        <v>3000</v>
      </c>
      <c r="G11" s="3">
        <v>79</v>
      </c>
      <c r="H11" s="3" t="str">
        <v>Yes</v>
      </c>
      <c r="I11" s="3" t="str">
        <v>All Three</v>
      </c>
      <c r="J11" s="3" t="str">
        <v>Grand Line</v>
      </c>
      <c r="K11" s="3" t="str">
        <v>Retired</v>
      </c>
      <c r="L11" s="3" t="str">
        <v>Fleet Admiral</v>
      </c>
      <c r="M11" s="3">
        <v>278</v>
      </c>
      <c r="N11" s="3" t="str">
        <v>Marineford</v>
      </c>
    </row>
    <row r="12" spans="2:14" x14ac:dyDescent="0.3">
      <c r="B12" s="3" t="str">
        <v>Don Chinjao</v>
      </c>
      <c r="C12" s="3" t="str">
        <v>Male</v>
      </c>
      <c r="D12" s="3" t="str">
        <v>Happo Navy</v>
      </c>
      <c r="E12" s="3" t="str">
        <v>Former Leader</v>
      </c>
      <c r="F12" s="3">
        <v>542</v>
      </c>
      <c r="G12" s="3">
        <v>78</v>
      </c>
      <c r="H12" s="3" t="str">
        <v>No</v>
      </c>
      <c r="I12" s="3" t="str">
        <v>Armament + Conqueror</v>
      </c>
      <c r="J12" s="3" t="str">
        <v>West Blue</v>
      </c>
      <c r="K12" s="3" t="str">
        <v>Active</v>
      </c>
      <c r="L12" s="3" t="str">
        <v>Pirate</v>
      </c>
      <c r="M12" s="3">
        <v>520</v>
      </c>
      <c r="N12" s="3" t="str">
        <v>Dressrosa</v>
      </c>
    </row>
    <row r="13" spans="2:14" x14ac:dyDescent="0.3">
      <c r="B13" s="3" t="str">
        <v>Monkey D. Garp</v>
      </c>
      <c r="C13" s="3" t="str">
        <v>Male</v>
      </c>
      <c r="D13" s="3" t="str">
        <v>Marines</v>
      </c>
      <c r="E13" s="3" t="str">
        <v>Vice Admiral</v>
      </c>
      <c r="F13" s="3">
        <v>3000</v>
      </c>
      <c r="G13" s="3">
        <v>78</v>
      </c>
      <c r="H13" s="3" t="str">
        <v>No</v>
      </c>
      <c r="I13" s="3" t="str">
        <v>All Three</v>
      </c>
      <c r="J13" s="3" t="str">
        <v>East Blue</v>
      </c>
      <c r="K13" s="3" t="str">
        <v>Active</v>
      </c>
      <c r="L13" s="3" t="str">
        <v>Vice Admiral</v>
      </c>
      <c r="M13" s="3">
        <v>287</v>
      </c>
      <c r="N13" s="3" t="str">
        <v>Marineford</v>
      </c>
    </row>
    <row r="14" spans="2:14" x14ac:dyDescent="0.3">
      <c r="B14" s="3" t="str">
        <v>Tsuru</v>
      </c>
      <c r="C14" s="3" t="str">
        <v>Female</v>
      </c>
      <c r="D14" s="3" t="str">
        <v>Marines</v>
      </c>
      <c r="E14" s="3" t="str">
        <v>Vice Admiral</v>
      </c>
      <c r="F14" s="3">
        <v>0</v>
      </c>
      <c r="G14" s="3">
        <v>76</v>
      </c>
      <c r="H14" s="3" t="str">
        <v>Yes</v>
      </c>
      <c r="I14" s="3">
        <v>0</v>
      </c>
      <c r="J14" s="3" t="str">
        <v>North Blue</v>
      </c>
      <c r="K14" s="3" t="str">
        <v>Active</v>
      </c>
      <c r="L14" s="3" t="str">
        <v>Vice Admiral</v>
      </c>
      <c r="M14" s="3">
        <v>204</v>
      </c>
      <c r="N14" s="3" t="str">
        <v>Marineford</v>
      </c>
    </row>
    <row r="15" spans="2:14" x14ac:dyDescent="0.3">
      <c r="B15" s="3" t="str">
        <v>Kokoro</v>
      </c>
      <c r="C15" s="3" t="str">
        <v>Female</v>
      </c>
      <c r="D15" s="3" t="str">
        <v>Water 7</v>
      </c>
      <c r="E15" s="3" t="str">
        <v>Station Master</v>
      </c>
      <c r="F15" s="3">
        <v>0</v>
      </c>
      <c r="G15" s="3">
        <v>72</v>
      </c>
      <c r="H15" s="3" t="str">
        <v>No</v>
      </c>
      <c r="I15" s="3">
        <v>0</v>
      </c>
      <c r="J15" s="3" t="str">
        <v>Water 7</v>
      </c>
      <c r="K15" s="3" t="str">
        <v>Active</v>
      </c>
      <c r="L15" s="3" t="str">
        <v>Station Master</v>
      </c>
      <c r="M15" s="3">
        <v>168</v>
      </c>
      <c r="N15" s="3" t="str">
        <v>Water 7</v>
      </c>
    </row>
    <row r="16" spans="2:14" x14ac:dyDescent="0.3">
      <c r="B16" s="3" t="str">
        <v>Edward Newgate</v>
      </c>
      <c r="C16" s="3" t="str">
        <v>Male</v>
      </c>
      <c r="D16" s="3" t="str">
        <v>Whitebeard Pirates</v>
      </c>
      <c r="E16" s="3" t="str">
        <v>Captain</v>
      </c>
      <c r="F16" s="3">
        <v>5000</v>
      </c>
      <c r="G16" s="3">
        <v>72</v>
      </c>
      <c r="H16" s="3" t="str">
        <v>Yes</v>
      </c>
      <c r="I16" s="3" t="str">
        <v>All Three</v>
      </c>
      <c r="J16" s="3" t="str">
        <v>Grand Line</v>
      </c>
      <c r="K16" s="3" t="str">
        <v>Deceased</v>
      </c>
      <c r="L16" s="3" t="str">
        <v>Emperor</v>
      </c>
      <c r="M16" s="3">
        <v>666</v>
      </c>
      <c r="N16" s="3" t="str">
        <v>Marineford</v>
      </c>
    </row>
    <row r="17" spans="2:14" x14ac:dyDescent="0.3">
      <c r="B17" s="3" t="str">
        <v>Charlotte Linlin (Big Mom)</v>
      </c>
      <c r="C17" s="3" t="str">
        <v>Female</v>
      </c>
      <c r="D17" s="3" t="str">
        <v>Big Mom Pirates</v>
      </c>
      <c r="E17" s="3" t="str">
        <v>Captain</v>
      </c>
      <c r="F17" s="3">
        <v>4300</v>
      </c>
      <c r="G17" s="3">
        <v>68</v>
      </c>
      <c r="H17" s="3" t="str">
        <v>Yes</v>
      </c>
      <c r="I17" s="3" t="str">
        <v>All Three</v>
      </c>
      <c r="J17" s="3" t="str">
        <v>Grand Line</v>
      </c>
      <c r="K17" s="3" t="str">
        <v>Defeated</v>
      </c>
      <c r="L17" s="3" t="str">
        <v>Emperor</v>
      </c>
      <c r="M17" s="3">
        <v>880</v>
      </c>
      <c r="N17" s="3" t="str">
        <v>Elbaf flashback</v>
      </c>
    </row>
    <row r="18" spans="2:14" x14ac:dyDescent="0.3">
      <c r="B18" s="3" t="str">
        <v>Gan Fall</v>
      </c>
      <c r="C18" s="3" t="str">
        <v>Male</v>
      </c>
      <c r="D18" s="3" t="str">
        <v>Skypiea</v>
      </c>
      <c r="E18" s="3" t="str">
        <v>Former God</v>
      </c>
      <c r="F18" s="3">
        <v>0</v>
      </c>
      <c r="G18" s="3">
        <v>68</v>
      </c>
      <c r="H18" s="3" t="str">
        <v>No</v>
      </c>
      <c r="I18" s="3">
        <v>0</v>
      </c>
      <c r="J18" s="3" t="str">
        <v>Sky Island</v>
      </c>
      <c r="K18" s="3" t="str">
        <v>Active</v>
      </c>
      <c r="L18" s="3" t="str">
        <v>Former God</v>
      </c>
      <c r="M18" s="3">
        <v>180</v>
      </c>
      <c r="N18" s="3" t="str">
        <v>Skypiea</v>
      </c>
    </row>
    <row r="19" spans="2:14" x14ac:dyDescent="0.3">
      <c r="B19" s="3" t="str">
        <v>Kaido</v>
      </c>
      <c r="C19" s="3" t="str">
        <v>Male</v>
      </c>
      <c r="D19" s="3" t="str">
        <v>Beasts Pirates</v>
      </c>
      <c r="E19" s="3" t="str">
        <v>Captain</v>
      </c>
      <c r="F19" s="3">
        <v>4611</v>
      </c>
      <c r="G19" s="3">
        <v>59</v>
      </c>
      <c r="H19" s="3" t="str">
        <v>Yes</v>
      </c>
      <c r="I19" s="3" t="str">
        <v>All Three</v>
      </c>
      <c r="J19" s="3" t="str">
        <v>Grand Line</v>
      </c>
      <c r="K19" s="3" t="str">
        <v>Defeated</v>
      </c>
      <c r="L19" s="3" t="str">
        <v>Emperor</v>
      </c>
      <c r="M19" s="3">
        <v>710</v>
      </c>
      <c r="N19" s="3" t="str">
        <v>Punk Hazard</v>
      </c>
    </row>
    <row r="20" spans="2:14" x14ac:dyDescent="0.3">
      <c r="B20" s="3" t="str">
        <v>Borsalino (Kizaru)</v>
      </c>
      <c r="C20" s="3" t="str">
        <v>Male</v>
      </c>
      <c r="D20" s="3" t="str">
        <v>Marines</v>
      </c>
      <c r="E20" s="3" t="str">
        <v>Admiral</v>
      </c>
      <c r="F20" s="3">
        <v>3000</v>
      </c>
      <c r="G20" s="3">
        <v>58</v>
      </c>
      <c r="H20" s="3" t="str">
        <v>Yes</v>
      </c>
      <c r="I20" s="3" t="str">
        <v>Armament + Observation</v>
      </c>
      <c r="J20" s="3" t="str">
        <v>North Blue</v>
      </c>
      <c r="K20" s="3" t="str">
        <v>Active</v>
      </c>
      <c r="L20" s="3" t="str">
        <v>Admiral</v>
      </c>
      <c r="M20" s="3">
        <v>302</v>
      </c>
      <c r="N20" s="3" t="str">
        <v>Sabaody Archipelago</v>
      </c>
    </row>
    <row r="21" spans="2:14" x14ac:dyDescent="0.3">
      <c r="B21" s="3" t="str">
        <v>Gion (Momousagi)</v>
      </c>
      <c r="C21" s="3" t="str">
        <v>Female</v>
      </c>
      <c r="D21" s="3" t="str">
        <v>Marines</v>
      </c>
      <c r="E21" s="3" t="str">
        <v>Vice Admiral</v>
      </c>
      <c r="F21" s="3">
        <v>0</v>
      </c>
      <c r="G21" s="3">
        <v>56</v>
      </c>
      <c r="H21" s="3" t="str">
        <v>No</v>
      </c>
      <c r="I21" s="3" t="str">
        <v>Armament + Observation</v>
      </c>
      <c r="J21" s="3" t="str">
        <v>Grand Line</v>
      </c>
      <c r="K21" s="3" t="str">
        <v>Active</v>
      </c>
      <c r="L21" s="3" t="str">
        <v>Vice Admiral</v>
      </c>
      <c r="M21" s="3">
        <v>185</v>
      </c>
      <c r="N21" s="3" t="str">
        <v>Reverie</v>
      </c>
    </row>
    <row r="22" spans="2:14" x14ac:dyDescent="0.3">
      <c r="B22" s="3" t="str">
        <v>Vinsmoke Judge</v>
      </c>
      <c r="C22" s="3" t="str">
        <v>Male</v>
      </c>
      <c r="D22" s="3" t="str">
        <v>Germa 66</v>
      </c>
      <c r="E22" s="3" t="str">
        <v>King / Scientist</v>
      </c>
      <c r="F22" s="3">
        <v>0</v>
      </c>
      <c r="G22" s="3">
        <v>56</v>
      </c>
      <c r="H22" s="3" t="str">
        <v>No</v>
      </c>
      <c r="I22" s="3">
        <v>0</v>
      </c>
      <c r="J22" s="3" t="str">
        <v>North Blue</v>
      </c>
      <c r="K22" s="3" t="str">
        <v>Active</v>
      </c>
      <c r="L22" s="3" t="str">
        <v>King</v>
      </c>
      <c r="M22" s="3">
        <v>272</v>
      </c>
      <c r="N22" s="3" t="str">
        <v>Whole Cake Island</v>
      </c>
    </row>
    <row r="23" spans="2:14" x14ac:dyDescent="0.3">
      <c r="B23" s="3" t="str">
        <v>Queen</v>
      </c>
      <c r="C23" s="3" t="str">
        <v>Male</v>
      </c>
      <c r="D23" s="3" t="str">
        <v>Beasts Pirates</v>
      </c>
      <c r="E23" s="3" t="str">
        <v>All-Star</v>
      </c>
      <c r="F23" s="3">
        <v>1320</v>
      </c>
      <c r="G23" s="3">
        <v>56</v>
      </c>
      <c r="H23" s="3" t="str">
        <v>Yes</v>
      </c>
      <c r="I23" s="3">
        <v>0</v>
      </c>
      <c r="J23" s="3" t="str">
        <v>Grand Line</v>
      </c>
      <c r="K23" s="3" t="str">
        <v>Defeated</v>
      </c>
      <c r="L23" s="3" t="str">
        <v>All-Star</v>
      </c>
      <c r="M23" s="3">
        <v>612</v>
      </c>
      <c r="N23" s="3" t="str">
        <v>Wano</v>
      </c>
    </row>
    <row r="24" spans="2:14" x14ac:dyDescent="0.3">
      <c r="B24" s="3" t="str">
        <v>Dadan</v>
      </c>
      <c r="C24" s="3" t="str">
        <v>Female</v>
      </c>
      <c r="D24" s="3" t="str">
        <v>Mountain Bandits</v>
      </c>
      <c r="E24" s="3" t="str">
        <v>Leader</v>
      </c>
      <c r="F24" s="3">
        <v>0</v>
      </c>
      <c r="G24" s="3">
        <v>55</v>
      </c>
      <c r="H24" s="3" t="str">
        <v>No</v>
      </c>
      <c r="I24" s="3">
        <v>0</v>
      </c>
      <c r="J24" s="3" t="str">
        <v>East Blue</v>
      </c>
      <c r="K24" s="3" t="str">
        <v>Active</v>
      </c>
      <c r="L24" s="3" t="str">
        <v>Leader</v>
      </c>
      <c r="M24" s="3">
        <v>212</v>
      </c>
      <c r="N24" s="3" t="str">
        <v>Foosha Village</v>
      </c>
    </row>
    <row r="25" spans="2:14" x14ac:dyDescent="0.3">
      <c r="B25" s="3" t="str">
        <v>Sakazuki (Akainu)</v>
      </c>
      <c r="C25" s="3" t="str">
        <v>Male</v>
      </c>
      <c r="D25" s="3" t="str">
        <v>Marines</v>
      </c>
      <c r="E25" s="3" t="str">
        <v>Fleet Admiral</v>
      </c>
      <c r="F25" s="3">
        <v>5000</v>
      </c>
      <c r="G25" s="3">
        <v>55</v>
      </c>
      <c r="H25" s="3" t="str">
        <v>Yes</v>
      </c>
      <c r="I25" s="3" t="str">
        <v>Armament + Observation</v>
      </c>
      <c r="J25" s="3" t="str">
        <v>North Blue</v>
      </c>
      <c r="K25" s="3" t="str">
        <v>Active</v>
      </c>
      <c r="L25" s="3" t="str">
        <v>Fleet Admiral</v>
      </c>
      <c r="M25" s="3">
        <v>306</v>
      </c>
      <c r="N25" s="3" t="str">
        <v>Marineford</v>
      </c>
    </row>
    <row r="26" spans="2:14" x14ac:dyDescent="0.3">
      <c r="B26" s="3" t="str">
        <v>Curly Dadan</v>
      </c>
      <c r="C26" s="3" t="str">
        <v>Female</v>
      </c>
      <c r="D26" s="3" t="str">
        <v>Mountain Bandits</v>
      </c>
      <c r="E26" s="3" t="str">
        <v>Leader</v>
      </c>
      <c r="F26" s="3">
        <v>0</v>
      </c>
      <c r="G26" s="3">
        <v>55</v>
      </c>
      <c r="H26" s="3" t="str">
        <v>No</v>
      </c>
      <c r="I26" s="3">
        <v>0</v>
      </c>
      <c r="J26" s="3" t="str">
        <v>East Blue</v>
      </c>
      <c r="K26" s="3" t="str">
        <v>Active</v>
      </c>
      <c r="L26" s="3" t="str">
        <v>Leader</v>
      </c>
      <c r="M26" s="3">
        <v>212</v>
      </c>
      <c r="N26" s="3" t="str">
        <v>Foosha Village</v>
      </c>
    </row>
    <row r="27" spans="2:14" x14ac:dyDescent="0.3">
      <c r="B27" s="3" t="str">
        <v>Issho (Fujitora)</v>
      </c>
      <c r="C27" s="3" t="str">
        <v>Male</v>
      </c>
      <c r="D27" s="3" t="str">
        <v>Marines</v>
      </c>
      <c r="E27" s="3" t="str">
        <v>Admiral</v>
      </c>
      <c r="F27" s="3">
        <v>3000</v>
      </c>
      <c r="G27" s="3">
        <v>54</v>
      </c>
      <c r="H27" s="3" t="str">
        <v>No</v>
      </c>
      <c r="I27" s="3" t="str">
        <v>Armament + Observation</v>
      </c>
      <c r="J27" s="3" t="str">
        <v>Grand Line</v>
      </c>
      <c r="K27" s="3" t="str">
        <v>Active</v>
      </c>
      <c r="L27" s="3" t="str">
        <v>Admiral</v>
      </c>
      <c r="M27" s="3">
        <v>270</v>
      </c>
      <c r="N27" s="3" t="str">
        <v>Dressrosa</v>
      </c>
    </row>
    <row r="28" spans="2:14" x14ac:dyDescent="0.3">
      <c r="B28" s="3" t="str">
        <v>Gecko Moria</v>
      </c>
      <c r="C28" s="3" t="str">
        <v>Male</v>
      </c>
      <c r="D28" s="3" t="str">
        <v>Thriller Bark Pirates</v>
      </c>
      <c r="E28" s="3" t="str">
        <v>Captain</v>
      </c>
      <c r="F28" s="3">
        <v>320</v>
      </c>
      <c r="G28" s="3">
        <v>50</v>
      </c>
      <c r="H28" s="3" t="str">
        <v>Yes</v>
      </c>
      <c r="I28" s="3">
        <v>0</v>
      </c>
      <c r="J28" s="3" t="str">
        <v>West Blue</v>
      </c>
      <c r="K28" s="3" t="str">
        <v>Active</v>
      </c>
      <c r="L28" s="3" t="str">
        <v>Warlord</v>
      </c>
      <c r="M28" s="3">
        <v>692</v>
      </c>
      <c r="N28" s="3" t="str">
        <v>Thriller Bark</v>
      </c>
    </row>
    <row r="29" spans="2:14" x14ac:dyDescent="0.3">
      <c r="B29" s="3" t="str">
        <v>Charlotte Perospero</v>
      </c>
      <c r="C29" s="3" t="str">
        <v>Male</v>
      </c>
      <c r="D29" s="3" t="str">
        <v>Big Mom Pirates</v>
      </c>
      <c r="E29" s="3" t="str">
        <v>Minister</v>
      </c>
      <c r="F29" s="3">
        <v>700</v>
      </c>
      <c r="G29" s="3">
        <v>50</v>
      </c>
      <c r="H29" s="3" t="str">
        <v>Yes</v>
      </c>
      <c r="I29" s="3">
        <v>0</v>
      </c>
      <c r="J29" s="3" t="str">
        <v>South Blue</v>
      </c>
      <c r="K29" s="3" t="str">
        <v>Active</v>
      </c>
      <c r="L29" s="3" t="str">
        <v>Minister</v>
      </c>
      <c r="M29" s="3">
        <v>333</v>
      </c>
      <c r="N29" s="3" t="str">
        <v>Whole Cake Island</v>
      </c>
    </row>
    <row r="30" spans="2:14" x14ac:dyDescent="0.3">
      <c r="B30" s="3" t="str">
        <v>Miss Merry Christmas</v>
      </c>
      <c r="C30" s="3" t="str">
        <v>Female</v>
      </c>
      <c r="D30" s="3" t="str">
        <v>Baroque Works</v>
      </c>
      <c r="E30" s="3" t="str">
        <v>Officer</v>
      </c>
      <c r="F30" s="3">
        <v>14</v>
      </c>
      <c r="G30" s="3">
        <v>49</v>
      </c>
      <c r="H30" s="3" t="str">
        <v>Yes</v>
      </c>
      <c r="I30" s="3">
        <v>0</v>
      </c>
      <c r="J30" s="3" t="str">
        <v>West Blue</v>
      </c>
      <c r="K30" s="3" t="str">
        <v>Defeated</v>
      </c>
      <c r="L30" s="3" t="str">
        <v>Officer</v>
      </c>
      <c r="M30" s="3">
        <v>156</v>
      </c>
      <c r="N30" s="3" t="str">
        <v>Alabasta</v>
      </c>
    </row>
    <row r="31" spans="2:14" x14ac:dyDescent="0.3">
      <c r="B31" s="3" t="str">
        <v>Trebol</v>
      </c>
      <c r="C31" s="3" t="str">
        <v>Male</v>
      </c>
      <c r="D31" s="3" t="str">
        <v>Donquixote Pirates</v>
      </c>
      <c r="E31" s="3" t="str">
        <v>Officer</v>
      </c>
      <c r="F31" s="3">
        <v>990</v>
      </c>
      <c r="G31" s="3">
        <v>49</v>
      </c>
      <c r="H31" s="3" t="str">
        <v>Yes</v>
      </c>
      <c r="I31" s="3">
        <v>0</v>
      </c>
      <c r="J31" s="3" t="str">
        <v>North Blue</v>
      </c>
      <c r="K31" s="3" t="str">
        <v>Defeated</v>
      </c>
      <c r="L31" s="3" t="str">
        <v>Officer</v>
      </c>
      <c r="M31" s="3">
        <v>349</v>
      </c>
      <c r="N31" s="3" t="str">
        <v>Dressrosa</v>
      </c>
    </row>
    <row r="32" spans="2:14" x14ac:dyDescent="0.3">
      <c r="B32" s="3" t="str">
        <v>Kuzan (Aokiji)</v>
      </c>
      <c r="C32" s="3" t="str">
        <v>Male</v>
      </c>
      <c r="D32" s="3" t="str">
        <v>Former Marines / Blackbeard Pirates</v>
      </c>
      <c r="E32" s="3" t="str">
        <v>Admiral</v>
      </c>
      <c r="F32" s="3">
        <v>4000</v>
      </c>
      <c r="G32" s="3">
        <v>49</v>
      </c>
      <c r="H32" s="3" t="str">
        <v>Yes</v>
      </c>
      <c r="I32" s="3" t="str">
        <v>Armament + Observation</v>
      </c>
      <c r="J32" s="3" t="str">
        <v>South Blue</v>
      </c>
      <c r="K32" s="3" t="str">
        <v>Active</v>
      </c>
      <c r="L32" s="3" t="str">
        <v>Admiral</v>
      </c>
      <c r="M32" s="3">
        <v>298</v>
      </c>
      <c r="N32" s="3" t="str">
        <v>Long Ring Long Land</v>
      </c>
    </row>
    <row r="33" spans="2:14" x14ac:dyDescent="0.3">
      <c r="B33" s="3" t="str">
        <v>Karasu</v>
      </c>
      <c r="C33" s="3" t="str">
        <v>Female</v>
      </c>
      <c r="D33" s="3" t="str">
        <v>Revolutionary Army</v>
      </c>
      <c r="E33" s="3" t="str">
        <v>Commander</v>
      </c>
      <c r="F33" s="3">
        <v>0</v>
      </c>
      <c r="G33" s="3">
        <v>49</v>
      </c>
      <c r="H33" s="3" t="str">
        <v>Yes</v>
      </c>
      <c r="I33" s="3">
        <v>0</v>
      </c>
      <c r="J33" s="3" t="str">
        <v>North Blue</v>
      </c>
      <c r="K33" s="3" t="str">
        <v>Active</v>
      </c>
      <c r="L33" s="3" t="str">
        <v>Commander</v>
      </c>
      <c r="M33" s="3">
        <v>265</v>
      </c>
      <c r="N33" s="3" t="str">
        <v>Reverie</v>
      </c>
    </row>
    <row r="34" spans="2:14" x14ac:dyDescent="0.3">
      <c r="B34" s="3" t="str">
        <v>Fisher Tiger</v>
      </c>
      <c r="C34" s="3" t="str">
        <v>Male</v>
      </c>
      <c r="D34" s="3" t="str">
        <v>Sun Pirates</v>
      </c>
      <c r="E34" s="3" t="str">
        <v>Captain</v>
      </c>
      <c r="F34" s="3">
        <v>230</v>
      </c>
      <c r="G34" s="3">
        <v>48</v>
      </c>
      <c r="H34" s="3" t="str">
        <v>No</v>
      </c>
      <c r="I34" s="3">
        <v>0</v>
      </c>
      <c r="J34" s="3" t="str">
        <v>Grand Line</v>
      </c>
      <c r="K34" s="3" t="str">
        <v>Deceased</v>
      </c>
      <c r="L34" s="3" t="str">
        <v>Captain</v>
      </c>
      <c r="M34" s="3">
        <v>261</v>
      </c>
      <c r="N34" s="3" t="str">
        <v>Fish-Man Island flashback</v>
      </c>
    </row>
    <row r="35" spans="2:14" x14ac:dyDescent="0.3">
      <c r="B35" s="3" t="str">
        <v>Charlotte Daifuku</v>
      </c>
      <c r="C35" s="3" t="str">
        <v>Male</v>
      </c>
      <c r="D35" s="3" t="str">
        <v>Big Mom Pirates</v>
      </c>
      <c r="E35" s="3" t="str">
        <v>Minister</v>
      </c>
      <c r="F35" s="3">
        <v>300</v>
      </c>
      <c r="G35" s="3">
        <v>48</v>
      </c>
      <c r="H35" s="3" t="str">
        <v>Yes</v>
      </c>
      <c r="I35" s="3">
        <v>0</v>
      </c>
      <c r="J35" s="3" t="str">
        <v>South Blue</v>
      </c>
      <c r="K35" s="3" t="str">
        <v>Active</v>
      </c>
      <c r="L35" s="3" t="str">
        <v>Minister</v>
      </c>
      <c r="M35" s="3">
        <v>489</v>
      </c>
      <c r="N35" s="3" t="str">
        <v>Whole Cake Island</v>
      </c>
    </row>
    <row r="36" spans="2:14" x14ac:dyDescent="0.3">
      <c r="B36" s="3" t="str">
        <v>Charlotte Katakuri</v>
      </c>
      <c r="C36" s="3" t="str">
        <v>Male</v>
      </c>
      <c r="D36" s="3" t="str">
        <v>Big Mom Pirates</v>
      </c>
      <c r="E36" s="3" t="str">
        <v>Sweet Commander</v>
      </c>
      <c r="F36" s="3">
        <v>1057</v>
      </c>
      <c r="G36" s="3">
        <v>48</v>
      </c>
      <c r="H36" s="3" t="str">
        <v>Yes</v>
      </c>
      <c r="I36" s="3" t="str">
        <v>All Three</v>
      </c>
      <c r="J36" s="3" t="str">
        <v>South Blue</v>
      </c>
      <c r="K36" s="3" t="str">
        <v>Active</v>
      </c>
      <c r="L36" s="3" t="str">
        <v>Sweet Commander</v>
      </c>
      <c r="M36" s="3">
        <v>509</v>
      </c>
      <c r="N36" s="3" t="str">
        <v>Whole Cake Island</v>
      </c>
    </row>
    <row r="37" spans="2:14" x14ac:dyDescent="0.3">
      <c r="B37" s="3" t="str">
        <v>Bartholomew Kuma</v>
      </c>
      <c r="C37" s="3" t="str">
        <v>Male</v>
      </c>
      <c r="D37" s="3" t="str">
        <v>Revolutionary Army / World Government</v>
      </c>
      <c r="E37" s="3" t="str">
        <v>Warlord</v>
      </c>
      <c r="F37" s="3">
        <v>296</v>
      </c>
      <c r="G37" s="3">
        <v>47</v>
      </c>
      <c r="H37" s="3" t="str">
        <v>Yes</v>
      </c>
      <c r="I37" s="3">
        <v>0</v>
      </c>
      <c r="J37" s="3" t="str">
        <v>South Blue</v>
      </c>
      <c r="K37" s="3" t="str">
        <v>Inactive</v>
      </c>
      <c r="L37" s="3" t="str">
        <v>Warlord</v>
      </c>
      <c r="M37" s="3">
        <v>689</v>
      </c>
      <c r="N37" s="3" t="str">
        <v>Sabaody Archipelago</v>
      </c>
    </row>
    <row r="38" spans="2:14" x14ac:dyDescent="0.3">
      <c r="B38" s="3" t="str">
        <v>King</v>
      </c>
      <c r="C38" s="3" t="str">
        <v>Male</v>
      </c>
      <c r="D38" s="3" t="str">
        <v>Beasts Pirates</v>
      </c>
      <c r="E38" s="3" t="str">
        <v>All-Star</v>
      </c>
      <c r="F38" s="3">
        <v>1390</v>
      </c>
      <c r="G38" s="3">
        <v>47</v>
      </c>
      <c r="H38" s="3" t="str">
        <v>No</v>
      </c>
      <c r="I38" s="3" t="str">
        <v>Armament + Observation</v>
      </c>
      <c r="J38" s="3" t="str">
        <v>Grand Line</v>
      </c>
      <c r="K38" s="3" t="str">
        <v>Defeated</v>
      </c>
      <c r="L38" s="3" t="str">
        <v>All-Star</v>
      </c>
      <c r="M38" s="3">
        <v>613</v>
      </c>
      <c r="N38" s="3" t="str">
        <v>Wano</v>
      </c>
    </row>
    <row r="39" spans="2:14" x14ac:dyDescent="0.3">
      <c r="B39" s="3" t="str">
        <v>Urouge</v>
      </c>
      <c r="C39" s="3" t="str">
        <v>Male</v>
      </c>
      <c r="D39" s="3" t="str">
        <v>Fallen Monk Pirates</v>
      </c>
      <c r="E39" s="3" t="str">
        <v>Captain</v>
      </c>
      <c r="F39" s="3">
        <v>108</v>
      </c>
      <c r="G39" s="3">
        <v>47</v>
      </c>
      <c r="H39" s="3" t="str">
        <v>Yes</v>
      </c>
      <c r="I39" s="3">
        <v>0</v>
      </c>
      <c r="J39" s="3" t="str">
        <v>Sky Island</v>
      </c>
      <c r="K39" s="3" t="str">
        <v>Active</v>
      </c>
      <c r="L39" s="3" t="str">
        <v>Supernova</v>
      </c>
      <c r="M39" s="3">
        <v>388</v>
      </c>
      <c r="N39" s="3" t="str">
        <v>Sabaody Archipelago</v>
      </c>
    </row>
    <row r="40" spans="2:14" x14ac:dyDescent="0.3">
      <c r="B40" s="3" t="str">
        <v>Charlotte Amande</v>
      </c>
      <c r="C40" s="3" t="str">
        <v>Female</v>
      </c>
      <c r="D40" s="3" t="str">
        <v>Big Mom Pirates</v>
      </c>
      <c r="E40" s="3" t="str">
        <v>Officer</v>
      </c>
      <c r="F40" s="3">
        <v>0</v>
      </c>
      <c r="G40" s="3">
        <v>47</v>
      </c>
      <c r="H40" s="3" t="str">
        <v>No</v>
      </c>
      <c r="I40" s="3">
        <v>0</v>
      </c>
      <c r="J40" s="3" t="str">
        <v>South Blue</v>
      </c>
      <c r="K40" s="3" t="str">
        <v>Active</v>
      </c>
      <c r="L40" s="3" t="str">
        <v>Officer</v>
      </c>
      <c r="M40" s="3">
        <v>42</v>
      </c>
      <c r="N40" s="3" t="str">
        <v>Whole Cake Island</v>
      </c>
    </row>
    <row r="41" spans="2:14" x14ac:dyDescent="0.3">
      <c r="B41" s="3" t="str">
        <v>Crocodile</v>
      </c>
      <c r="C41" s="3" t="str">
        <v>Male</v>
      </c>
      <c r="D41" s="3" t="str">
        <v>Baroque Works / Cross Guild</v>
      </c>
      <c r="E41" s="3" t="str">
        <v>Former Warlord</v>
      </c>
      <c r="F41" s="3">
        <v>1965</v>
      </c>
      <c r="G41" s="3">
        <v>46</v>
      </c>
      <c r="H41" s="3" t="str">
        <v>Yes</v>
      </c>
      <c r="I41" s="3" t="str">
        <v>Armament</v>
      </c>
      <c r="J41" s="3" t="str">
        <v>Grand Line</v>
      </c>
      <c r="K41" s="3" t="str">
        <v>Active</v>
      </c>
      <c r="L41" s="3" t="str">
        <v>Former Warlord</v>
      </c>
      <c r="M41" s="3">
        <v>253</v>
      </c>
      <c r="N41" s="3" t="str">
        <v>Alabasta</v>
      </c>
    </row>
    <row r="42" spans="2:14" x14ac:dyDescent="0.3">
      <c r="B42" s="3" t="str">
        <v>Jinbe</v>
      </c>
      <c r="C42" s="3" t="str">
        <v>Male</v>
      </c>
      <c r="D42" s="3" t="str">
        <v>Straw Hat Pirates</v>
      </c>
      <c r="E42" s="3" t="str">
        <v>Helmsman</v>
      </c>
      <c r="F42" s="3">
        <v>1100</v>
      </c>
      <c r="G42" s="3">
        <v>46</v>
      </c>
      <c r="H42" s="3" t="str">
        <v>No</v>
      </c>
      <c r="I42" s="3" t="str">
        <v>Armament</v>
      </c>
      <c r="J42" s="3" t="str">
        <v>Fish-Man Island</v>
      </c>
      <c r="K42" s="3" t="str">
        <v>Active</v>
      </c>
      <c r="L42" s="3" t="str">
        <v>Helmsman</v>
      </c>
      <c r="M42" s="3">
        <v>301</v>
      </c>
      <c r="N42" s="3" t="str">
        <v>Impel Down</v>
      </c>
    </row>
    <row r="43" spans="2:14" x14ac:dyDescent="0.3">
      <c r="B43" s="3" t="str">
        <v>Charlotte Cracker</v>
      </c>
      <c r="C43" s="3" t="str">
        <v>Male</v>
      </c>
      <c r="D43" s="3" t="str">
        <v>Big Mom Pirates</v>
      </c>
      <c r="E43" s="3" t="str">
        <v>Sweet Commander</v>
      </c>
      <c r="F43" s="3">
        <v>860</v>
      </c>
      <c r="G43" s="3">
        <v>45</v>
      </c>
      <c r="H43" s="3" t="str">
        <v>Yes</v>
      </c>
      <c r="I43" s="3" t="str">
        <v>Armament + Observation</v>
      </c>
      <c r="J43" s="3" t="str">
        <v>South Blue</v>
      </c>
      <c r="K43" s="3" t="str">
        <v>Active</v>
      </c>
      <c r="L43" s="3" t="str">
        <v>Sweet Commander</v>
      </c>
      <c r="M43" s="3">
        <v>307</v>
      </c>
      <c r="N43" s="3" t="str">
        <v>Whole Cake Island</v>
      </c>
    </row>
    <row r="44" spans="2:14" x14ac:dyDescent="0.3">
      <c r="B44" s="3" t="str">
        <v>Diamante</v>
      </c>
      <c r="C44" s="3" t="str">
        <v>Male</v>
      </c>
      <c r="D44" s="3" t="str">
        <v>Donquixote Pirates</v>
      </c>
      <c r="E44" s="3" t="str">
        <v>Officer</v>
      </c>
      <c r="F44" s="3">
        <v>990</v>
      </c>
      <c r="G44" s="3">
        <v>45</v>
      </c>
      <c r="H44" s="3" t="str">
        <v>Yes</v>
      </c>
      <c r="I44" s="3">
        <v>0</v>
      </c>
      <c r="J44" s="3" t="str">
        <v>North Blue</v>
      </c>
      <c r="K44" s="3" t="str">
        <v>Defeated</v>
      </c>
      <c r="L44" s="3" t="str">
        <v>Officer</v>
      </c>
      <c r="M44" s="3">
        <v>525</v>
      </c>
      <c r="N44" s="3" t="str">
        <v>Dressrosa</v>
      </c>
    </row>
    <row r="45" spans="2:14" x14ac:dyDescent="0.3">
      <c r="B45" s="3" t="str">
        <v>Marco</v>
      </c>
      <c r="C45" s="3" t="str">
        <v>Male</v>
      </c>
      <c r="D45" s="3" t="str">
        <v>Whitebeard Pirates</v>
      </c>
      <c r="E45" s="3" t="str">
        <v>Commander</v>
      </c>
      <c r="F45" s="3">
        <v>1374</v>
      </c>
      <c r="G45" s="3">
        <v>45</v>
      </c>
      <c r="H45" s="3" t="str">
        <v>Yes</v>
      </c>
      <c r="I45" s="3" t="str">
        <v>Armament + Observation</v>
      </c>
      <c r="J45" s="3" t="str">
        <v>Grand Line</v>
      </c>
      <c r="K45" s="3" t="str">
        <v>Active</v>
      </c>
      <c r="L45" s="3" t="str">
        <v>Commander</v>
      </c>
      <c r="M45" s="3">
        <v>203</v>
      </c>
      <c r="N45" s="3" t="str">
        <v>Marineford</v>
      </c>
    </row>
    <row r="46" spans="2:14" x14ac:dyDescent="0.3">
      <c r="B46" s="3" t="str">
        <v>Don Krieg</v>
      </c>
      <c r="C46" s="3" t="str">
        <v>Male</v>
      </c>
      <c r="D46" s="3" t="str">
        <v>Krieg Pirates</v>
      </c>
      <c r="E46" s="3" t="str">
        <v>Admiral</v>
      </c>
      <c r="F46" s="3">
        <v>17</v>
      </c>
      <c r="G46" s="3">
        <v>44</v>
      </c>
      <c r="H46" s="3" t="str">
        <v>No</v>
      </c>
      <c r="I46" s="3">
        <v>0</v>
      </c>
      <c r="J46" s="3" t="str">
        <v>East Blue</v>
      </c>
      <c r="K46" s="3" t="str">
        <v>Defeated</v>
      </c>
      <c r="L46" s="3" t="str">
        <v>Pirate</v>
      </c>
      <c r="M46" s="3">
        <v>243</v>
      </c>
      <c r="N46" s="3" t="str">
        <v>Baratie</v>
      </c>
    </row>
    <row r="47" spans="2:14" x14ac:dyDescent="0.3">
      <c r="B47" s="3" t="str">
        <v>Charlotte Brulee</v>
      </c>
      <c r="C47" s="3" t="str">
        <v>Female</v>
      </c>
      <c r="D47" s="3" t="str">
        <v>Big Mom Pirates</v>
      </c>
      <c r="E47" s="3" t="str">
        <v>Officer</v>
      </c>
      <c r="F47" s="3">
        <v>0</v>
      </c>
      <c r="G47" s="3">
        <v>43</v>
      </c>
      <c r="H47" s="3" t="str">
        <v>Yes</v>
      </c>
      <c r="I47" s="3">
        <v>0</v>
      </c>
      <c r="J47" s="3" t="str">
        <v>South Blue</v>
      </c>
      <c r="K47" s="3" t="str">
        <v>Active</v>
      </c>
      <c r="L47" s="3" t="str">
        <v>Officer</v>
      </c>
      <c r="M47" s="3">
        <v>350</v>
      </c>
      <c r="N47" s="3" t="str">
        <v>Whole Cake Island</v>
      </c>
    </row>
    <row r="48" spans="2:14" x14ac:dyDescent="0.3">
      <c r="B48" s="3" t="str">
        <v>Mont Blanc Cricket</v>
      </c>
      <c r="C48" s="3" t="str">
        <v>Male</v>
      </c>
      <c r="D48" s="3" t="str">
        <v>Saruyama Alliance</v>
      </c>
      <c r="E48" s="3" t="str">
        <v>Leader</v>
      </c>
      <c r="F48" s="3">
        <v>0</v>
      </c>
      <c r="G48" s="3">
        <v>43</v>
      </c>
      <c r="H48" s="3" t="str">
        <v>No</v>
      </c>
      <c r="I48" s="3">
        <v>0</v>
      </c>
      <c r="J48" s="3" t="str">
        <v>North Blue</v>
      </c>
      <c r="K48" s="3" t="str">
        <v>Active</v>
      </c>
      <c r="L48" s="3" t="str">
        <v>Leader</v>
      </c>
      <c r="M48" s="3">
        <v>222</v>
      </c>
      <c r="N48" s="3" t="str">
        <v>Jaya</v>
      </c>
    </row>
    <row r="49" spans="2:14" x14ac:dyDescent="0.3">
      <c r="B49" s="3" t="str">
        <v>Orlumbus</v>
      </c>
      <c r="C49" s="3" t="str">
        <v>Male</v>
      </c>
      <c r="D49" s="3" t="str">
        <v>Yonta Maria Grand Fleet</v>
      </c>
      <c r="E49" s="3" t="str">
        <v>Admiral</v>
      </c>
      <c r="F49" s="3">
        <v>148</v>
      </c>
      <c r="G49" s="3">
        <v>42</v>
      </c>
      <c r="H49" s="3" t="str">
        <v>No</v>
      </c>
      <c r="I49" s="3">
        <v>0</v>
      </c>
      <c r="J49" s="3" t="str">
        <v>Grand Line</v>
      </c>
      <c r="K49" s="3" t="str">
        <v>Active</v>
      </c>
      <c r="L49" s="3" t="str">
        <v>Commander</v>
      </c>
      <c r="M49" s="3">
        <v>480</v>
      </c>
      <c r="N49" s="3" t="str">
        <v>Dressrosa</v>
      </c>
    </row>
    <row r="50" spans="2:14" x14ac:dyDescent="0.3">
      <c r="B50" s="3" t="str">
        <v>Capone Bege</v>
      </c>
      <c r="C50" s="3" t="str">
        <v>Male</v>
      </c>
      <c r="D50" s="3" t="str">
        <v>Fire Tank Pirates</v>
      </c>
      <c r="E50" s="3" t="str">
        <v>Captain</v>
      </c>
      <c r="F50" s="3">
        <v>350</v>
      </c>
      <c r="G50" s="3">
        <v>42</v>
      </c>
      <c r="H50" s="3" t="str">
        <v>Yes</v>
      </c>
      <c r="I50" s="3" t="str">
        <v>Armament + Observation</v>
      </c>
      <c r="J50" s="3" t="str">
        <v>West Blue</v>
      </c>
      <c r="K50" s="3" t="str">
        <v>Active</v>
      </c>
      <c r="L50" s="3" t="str">
        <v>Supernova</v>
      </c>
      <c r="M50" s="3">
        <v>166</v>
      </c>
      <c r="N50" s="3" t="str">
        <v>Sabaody Archipelago</v>
      </c>
    </row>
    <row r="51" spans="2:14" x14ac:dyDescent="0.3">
      <c r="B51" s="3" t="str">
        <v>Aramaki (Ryokugyu)</v>
      </c>
      <c r="C51" s="3" t="str">
        <v>Male</v>
      </c>
      <c r="D51" s="3" t="str">
        <v>Marines</v>
      </c>
      <c r="E51" s="3" t="str">
        <v>Admiral</v>
      </c>
      <c r="F51" s="3">
        <v>3000</v>
      </c>
      <c r="G51" s="3">
        <v>41</v>
      </c>
      <c r="H51" s="3" t="str">
        <v>Yes</v>
      </c>
      <c r="I51" s="3" t="str">
        <v>Armament + Observation</v>
      </c>
      <c r="J51" s="3" t="str">
        <v>North Blue</v>
      </c>
      <c r="K51" s="3" t="str">
        <v>Active</v>
      </c>
      <c r="L51" s="3" t="str">
        <v>Admiral</v>
      </c>
      <c r="M51" s="3">
        <v>200</v>
      </c>
      <c r="N51" s="3" t="str">
        <v>Wano</v>
      </c>
    </row>
    <row r="52" spans="2:14" x14ac:dyDescent="0.3">
      <c r="B52" s="3" t="str">
        <v>Donquixote Doflamingo</v>
      </c>
      <c r="C52" s="3" t="str">
        <v>Male</v>
      </c>
      <c r="D52" s="3" t="str">
        <v>Donquixote Pirates</v>
      </c>
      <c r="E52" s="3" t="str">
        <v>Captain</v>
      </c>
      <c r="F52" s="3">
        <v>3400</v>
      </c>
      <c r="G52" s="3">
        <v>41</v>
      </c>
      <c r="H52" s="3" t="str">
        <v>Yes</v>
      </c>
      <c r="I52" s="3" t="str">
        <v>All Three</v>
      </c>
      <c r="J52" s="3" t="str">
        <v>North Blue</v>
      </c>
      <c r="K52" s="3" t="str">
        <v>Imprisoned</v>
      </c>
      <c r="L52" s="3" t="str">
        <v>Warlord</v>
      </c>
      <c r="M52" s="3">
        <v>305</v>
      </c>
      <c r="N52" s="3" t="str">
        <v>Jaya</v>
      </c>
    </row>
    <row r="53" spans="2:14" x14ac:dyDescent="0.3">
      <c r="B53" s="3" t="str">
        <v>Vergo</v>
      </c>
      <c r="C53" s="3" t="str">
        <v>Male</v>
      </c>
      <c r="D53" s="3" t="str">
        <v>Marines / Donquixote Pirates</v>
      </c>
      <c r="E53" s="3" t="str">
        <v>Vice Admiral</v>
      </c>
      <c r="F53" s="3">
        <v>0</v>
      </c>
      <c r="G53" s="3">
        <v>41</v>
      </c>
      <c r="H53" s="3" t="str">
        <v>No</v>
      </c>
      <c r="I53" s="3" t="str">
        <v>Armament</v>
      </c>
      <c r="J53" s="3" t="str">
        <v>North Blue</v>
      </c>
      <c r="K53" s="3" t="str">
        <v>Deceased</v>
      </c>
      <c r="L53" s="3" t="str">
        <v>Vice Admiral</v>
      </c>
      <c r="M53" s="3">
        <v>247</v>
      </c>
      <c r="N53" s="3" t="str">
        <v>Punk Hazard</v>
      </c>
    </row>
    <row r="54" spans="2:14" x14ac:dyDescent="0.3">
      <c r="B54" s="3" t="str">
        <v>Arlong</v>
      </c>
      <c r="C54" s="3" t="str">
        <v>Male</v>
      </c>
      <c r="D54" s="3" t="str">
        <v>Arlong Pirates</v>
      </c>
      <c r="E54" s="3" t="str">
        <v>Captain</v>
      </c>
      <c r="F54" s="3">
        <v>20</v>
      </c>
      <c r="G54" s="3">
        <v>41</v>
      </c>
      <c r="H54" s="3" t="str">
        <v>No</v>
      </c>
      <c r="I54" s="3">
        <v>0</v>
      </c>
      <c r="J54" s="3" t="str">
        <v>Grand Line</v>
      </c>
      <c r="K54" s="3" t="str">
        <v>Defeated</v>
      </c>
      <c r="L54" s="3" t="str">
        <v>Captain</v>
      </c>
      <c r="M54" s="3">
        <v>263</v>
      </c>
      <c r="N54" s="3" t="str">
        <v>Arlong Park</v>
      </c>
    </row>
    <row r="55" spans="2:14" x14ac:dyDescent="0.3">
      <c r="B55" s="3" t="str">
        <v>Pica</v>
      </c>
      <c r="C55" s="3" t="str">
        <v>Male</v>
      </c>
      <c r="D55" s="3" t="str">
        <v>Donquixote Pirates</v>
      </c>
      <c r="E55" s="3" t="str">
        <v>Officer</v>
      </c>
      <c r="F55" s="3">
        <v>990</v>
      </c>
      <c r="G55" s="3">
        <v>40</v>
      </c>
      <c r="H55" s="3" t="str">
        <v>Yes</v>
      </c>
      <c r="I55" s="3">
        <v>0</v>
      </c>
      <c r="J55" s="3" t="str">
        <v>North Blue</v>
      </c>
      <c r="K55" s="3" t="str">
        <v>Defeated</v>
      </c>
      <c r="L55" s="3" t="str">
        <v>Officer</v>
      </c>
      <c r="M55" s="3">
        <v>470</v>
      </c>
      <c r="N55" s="3" t="str">
        <v>Dressrosa</v>
      </c>
    </row>
    <row r="56" spans="2:14" x14ac:dyDescent="0.3">
      <c r="B56" s="3" t="str">
        <v>Marshall D. Teach</v>
      </c>
      <c r="C56" s="3" t="str">
        <v>Male</v>
      </c>
      <c r="D56" s="3" t="str">
        <v>Blackbeard Pirates</v>
      </c>
      <c r="E56" s="3" t="str">
        <v>Captain</v>
      </c>
      <c r="F56" s="3">
        <v>3996</v>
      </c>
      <c r="G56" s="3">
        <v>40</v>
      </c>
      <c r="H56" s="3" t="str">
        <v>Yes</v>
      </c>
      <c r="I56" s="3" t="str">
        <v>Conqueror</v>
      </c>
      <c r="J56" s="3" t="str">
        <v>Grand Line</v>
      </c>
      <c r="K56" s="3" t="str">
        <v>Active</v>
      </c>
      <c r="L56" s="3" t="str">
        <v>Emperor</v>
      </c>
      <c r="M56" s="3">
        <v>344</v>
      </c>
      <c r="N56" s="3" t="str">
        <v>Jaya</v>
      </c>
    </row>
    <row r="57" spans="2:14" x14ac:dyDescent="0.3">
      <c r="B57" s="3" t="str">
        <v>Charlotte Oven</v>
      </c>
      <c r="C57" s="3" t="str">
        <v>Male</v>
      </c>
      <c r="D57" s="3" t="str">
        <v>Big Mom Pirates</v>
      </c>
      <c r="E57" s="3" t="str">
        <v>Minister</v>
      </c>
      <c r="F57" s="3">
        <v>300</v>
      </c>
      <c r="G57" s="3">
        <v>40</v>
      </c>
      <c r="H57" s="3" t="str">
        <v>Yes</v>
      </c>
      <c r="I57" s="3">
        <v>0</v>
      </c>
      <c r="J57" s="3" t="str">
        <v>South Blue</v>
      </c>
      <c r="K57" s="3" t="str">
        <v>Active</v>
      </c>
      <c r="L57" s="3" t="str">
        <v>Minister</v>
      </c>
      <c r="M57" s="3">
        <v>492</v>
      </c>
      <c r="N57" s="3" t="str">
        <v>Whole Cake Island</v>
      </c>
    </row>
    <row r="58" spans="2:14" x14ac:dyDescent="0.3">
      <c r="B58" s="3" t="str">
        <v>Caesar Clown</v>
      </c>
      <c r="C58" s="3" t="str">
        <v>Male</v>
      </c>
      <c r="D58" s="3" t="str">
        <v>Former Punk Hazard Scientist</v>
      </c>
      <c r="E58" s="3" t="str">
        <v>Scientist</v>
      </c>
      <c r="F58" s="3">
        <v>300</v>
      </c>
      <c r="G58" s="3">
        <v>40</v>
      </c>
      <c r="H58" s="3" t="str">
        <v>Yes</v>
      </c>
      <c r="I58" s="3">
        <v>0</v>
      </c>
      <c r="J58" s="3" t="str">
        <v>Grand Line</v>
      </c>
      <c r="K58" s="3" t="str">
        <v>Active</v>
      </c>
      <c r="L58" s="3" t="str">
        <v>Scientist</v>
      </c>
      <c r="M58" s="3">
        <v>309</v>
      </c>
      <c r="N58" s="3" t="str">
        <v>Punk Hazard</v>
      </c>
    </row>
    <row r="59" spans="2:14" x14ac:dyDescent="0.3">
      <c r="B59" s="3" t="str">
        <v>Spandam</v>
      </c>
      <c r="C59" s="3" t="str">
        <v>Male</v>
      </c>
      <c r="D59" s="3" t="str">
        <v>World Government</v>
      </c>
      <c r="E59" s="3" t="str">
        <v>Director</v>
      </c>
      <c r="F59" s="3">
        <v>0</v>
      </c>
      <c r="G59" s="3">
        <v>39</v>
      </c>
      <c r="H59" s="3" t="str">
        <v>No</v>
      </c>
      <c r="I59" s="3">
        <v>0</v>
      </c>
      <c r="J59" s="3" t="str">
        <v>Grand Line</v>
      </c>
      <c r="K59" s="3" t="str">
        <v>Active</v>
      </c>
      <c r="L59" s="3" t="str">
        <v>Government</v>
      </c>
      <c r="M59" s="3">
        <v>192</v>
      </c>
      <c r="N59" s="3" t="str">
        <v>Water 7</v>
      </c>
    </row>
    <row r="60" spans="2:14" x14ac:dyDescent="0.3">
      <c r="B60" s="3" t="str">
        <v>Enel</v>
      </c>
      <c r="C60" s="3" t="str">
        <v>Male</v>
      </c>
      <c r="D60" s="3" t="str">
        <v>God's Army</v>
      </c>
      <c r="E60" s="3" t="str">
        <v>God</v>
      </c>
      <c r="F60" s="3">
        <v>500</v>
      </c>
      <c r="G60" s="3">
        <v>39</v>
      </c>
      <c r="H60" s="3" t="str">
        <v>Yes</v>
      </c>
      <c r="I60" s="3" t="str">
        <v>Observation</v>
      </c>
      <c r="J60" s="3" t="str">
        <v>Sky Island</v>
      </c>
      <c r="K60" s="3" t="str">
        <v>Active</v>
      </c>
      <c r="L60" s="3" t="str">
        <v>God</v>
      </c>
      <c r="M60" s="3">
        <v>266</v>
      </c>
      <c r="N60" s="3" t="str">
        <v>Skypiea</v>
      </c>
    </row>
    <row r="61" spans="2:14" x14ac:dyDescent="0.3">
      <c r="B61" s="3" t="str">
        <v>Shanks</v>
      </c>
      <c r="C61" s="3" t="str">
        <v>Male</v>
      </c>
      <c r="D61" s="3" t="str">
        <v>Red Hair Pirates</v>
      </c>
      <c r="E61" s="3" t="str">
        <v>Captain</v>
      </c>
      <c r="F61" s="3">
        <v>4000</v>
      </c>
      <c r="G61" s="3">
        <v>39</v>
      </c>
      <c r="H61" s="3" t="str">
        <v>No</v>
      </c>
      <c r="I61" s="3" t="str">
        <v>All Three</v>
      </c>
      <c r="J61" s="3" t="str">
        <v>West Blue</v>
      </c>
      <c r="K61" s="3" t="str">
        <v>Active</v>
      </c>
      <c r="L61" s="3" t="str">
        <v>Emperor</v>
      </c>
      <c r="M61" s="3">
        <v>199</v>
      </c>
      <c r="N61" s="3" t="str">
        <v>Foosha Village</v>
      </c>
    </row>
    <row r="62" spans="2:14" x14ac:dyDescent="0.3">
      <c r="B62" s="3" t="str">
        <v>Kozuki Oden</v>
      </c>
      <c r="C62" s="3" t="str">
        <v>Male</v>
      </c>
      <c r="D62" s="3" t="str">
        <v>Kozuki Family / Whitebeard / Roger</v>
      </c>
      <c r="E62" s="3" t="str">
        <v>Samurai</v>
      </c>
      <c r="F62" s="3">
        <v>0</v>
      </c>
      <c r="G62" s="3">
        <v>39</v>
      </c>
      <c r="H62" s="3" t="str">
        <v>No</v>
      </c>
      <c r="I62" s="3" t="str">
        <v>Armament + Conqueror</v>
      </c>
      <c r="J62" s="3" t="str">
        <v>Wano</v>
      </c>
      <c r="K62" s="3" t="str">
        <v>Deceased</v>
      </c>
      <c r="L62" s="3" t="str">
        <v>Daimyo</v>
      </c>
      <c r="M62" s="3">
        <v>382</v>
      </c>
      <c r="N62" s="3" t="str">
        <v>Wano flashback</v>
      </c>
    </row>
    <row r="63" spans="2:14" x14ac:dyDescent="0.3">
      <c r="B63" s="3" t="str">
        <v>Hatchan</v>
      </c>
      <c r="C63" s="3" t="str">
        <v>Male</v>
      </c>
      <c r="D63" s="3" t="str">
        <v>Arlong Pirates</v>
      </c>
      <c r="E63" s="3" t="str">
        <v>Officer</v>
      </c>
      <c r="F63" s="3">
        <v>8</v>
      </c>
      <c r="G63" s="3">
        <v>38</v>
      </c>
      <c r="H63" s="3" t="str">
        <v>No</v>
      </c>
      <c r="I63" s="3">
        <v>0</v>
      </c>
      <c r="J63" s="3" t="str">
        <v>Grand Line</v>
      </c>
      <c r="K63" s="3" t="str">
        <v>Active</v>
      </c>
      <c r="L63" s="3" t="str">
        <v>Officer</v>
      </c>
      <c r="M63" s="3">
        <v>220</v>
      </c>
      <c r="N63" s="3" t="str">
        <v>Arlong Park</v>
      </c>
    </row>
    <row r="64" spans="2:14" x14ac:dyDescent="0.3">
      <c r="B64" s="3" t="str">
        <v>Foxy</v>
      </c>
      <c r="C64" s="3" t="str">
        <v>Male</v>
      </c>
      <c r="D64" s="3" t="str">
        <v>Foxy Pirates</v>
      </c>
      <c r="E64" s="3" t="str">
        <v>Captain</v>
      </c>
      <c r="F64" s="3">
        <v>24</v>
      </c>
      <c r="G64" s="3">
        <v>38</v>
      </c>
      <c r="H64" s="3" t="str">
        <v>Yes</v>
      </c>
      <c r="I64" s="3">
        <v>0</v>
      </c>
      <c r="J64" s="3" t="str">
        <v>Grand Line</v>
      </c>
      <c r="K64" s="3" t="str">
        <v>Active</v>
      </c>
      <c r="L64" s="3" t="str">
        <v>Captain</v>
      </c>
      <c r="M64" s="3">
        <v>180</v>
      </c>
      <c r="N64" s="3" t="str">
        <v>Long Ring Long Land</v>
      </c>
    </row>
    <row r="65" spans="2:14" x14ac:dyDescent="0.3">
      <c r="B65" s="3" t="str">
        <v>Iceburg</v>
      </c>
      <c r="C65" s="3" t="str">
        <v>Male</v>
      </c>
      <c r="D65" s="3" t="str">
        <v>Water 7</v>
      </c>
      <c r="E65" s="3" t="str">
        <v>Mayor / Shipwright</v>
      </c>
      <c r="F65" s="3">
        <v>0</v>
      </c>
      <c r="G65" s="3">
        <v>38</v>
      </c>
      <c r="H65" s="3" t="str">
        <v>No</v>
      </c>
      <c r="I65" s="3">
        <v>0</v>
      </c>
      <c r="J65" s="3" t="str">
        <v>Water 7</v>
      </c>
      <c r="K65" s="3" t="str">
        <v>Active</v>
      </c>
      <c r="L65" s="3" t="str">
        <v>Mayor</v>
      </c>
      <c r="M65" s="3">
        <v>199</v>
      </c>
      <c r="N65" s="3" t="str">
        <v>Water 7</v>
      </c>
    </row>
    <row r="66" spans="2:14" x14ac:dyDescent="0.3">
      <c r="B66" s="3" t="str">
        <v>Galdino (Mr. 3)</v>
      </c>
      <c r="C66" s="3" t="str">
        <v>Male</v>
      </c>
      <c r="D66" s="3" t="str">
        <v>Baroque Works</v>
      </c>
      <c r="E66" s="3" t="str">
        <v>Officer</v>
      </c>
      <c r="F66" s="3">
        <v>24</v>
      </c>
      <c r="G66" s="3">
        <v>37</v>
      </c>
      <c r="H66" s="3" t="str">
        <v>Yes</v>
      </c>
      <c r="I66" s="3">
        <v>0</v>
      </c>
      <c r="J66" s="3" t="str">
        <v>Grand Line</v>
      </c>
      <c r="K66" s="3" t="str">
        <v>Active</v>
      </c>
      <c r="L66" s="3" t="str">
        <v>Officer</v>
      </c>
      <c r="M66" s="3">
        <v>179</v>
      </c>
      <c r="N66" s="3" t="str">
        <v>Little Garden</v>
      </c>
    </row>
    <row r="67" spans="2:14" x14ac:dyDescent="0.3">
      <c r="B67" s="3" t="str">
        <v>Jabra</v>
      </c>
      <c r="C67" s="3" t="str">
        <v>Male</v>
      </c>
      <c r="D67" s="3" t="str">
        <v>CP9</v>
      </c>
      <c r="E67" s="3" t="str">
        <v>Agent</v>
      </c>
      <c r="F67" s="3">
        <v>0</v>
      </c>
      <c r="G67" s="3">
        <v>37</v>
      </c>
      <c r="H67" s="3" t="str">
        <v>Yes</v>
      </c>
      <c r="I67" s="3" t="str">
        <v>Armament + Observation</v>
      </c>
      <c r="J67" s="3" t="str">
        <v>Grand Line</v>
      </c>
      <c r="K67" s="3" t="str">
        <v>Active</v>
      </c>
      <c r="L67" s="3" t="str">
        <v>CP9</v>
      </c>
      <c r="M67" s="3">
        <v>212</v>
      </c>
      <c r="N67" s="3" t="str">
        <v>Enies Lobby</v>
      </c>
    </row>
    <row r="68" spans="2:14" x14ac:dyDescent="0.3">
      <c r="B68" s="3" t="str">
        <v>Stussy</v>
      </c>
      <c r="C68" s="3" t="str">
        <v>Female</v>
      </c>
      <c r="D68" s="3" t="str">
        <v>CP0</v>
      </c>
      <c r="E68" s="3" t="str">
        <v>Agent</v>
      </c>
      <c r="F68" s="3">
        <v>570</v>
      </c>
      <c r="G68" s="3">
        <v>36</v>
      </c>
      <c r="H68" s="3" t="str">
        <v>Yes</v>
      </c>
      <c r="I68" s="3">
        <v>0</v>
      </c>
      <c r="J68" s="3" t="str">
        <v>Grand Line</v>
      </c>
      <c r="K68" s="3" t="str">
        <v>Active</v>
      </c>
      <c r="L68" s="3" t="str">
        <v>CP0</v>
      </c>
      <c r="M68" s="3">
        <v>179</v>
      </c>
      <c r="N68" s="3" t="str">
        <v>Whole Cake Island</v>
      </c>
    </row>
    <row r="69" spans="2:14" x14ac:dyDescent="0.3">
      <c r="B69" s="3" t="str">
        <v>Franky</v>
      </c>
      <c r="C69" s="3" t="str">
        <v>Male</v>
      </c>
      <c r="D69" s="3" t="str">
        <v>Straw Hat Pirates</v>
      </c>
      <c r="E69" s="3" t="str">
        <v>Shipwright</v>
      </c>
      <c r="F69" s="3">
        <v>394</v>
      </c>
      <c r="G69" s="3">
        <v>36</v>
      </c>
      <c r="H69" s="3" t="str">
        <v>No</v>
      </c>
      <c r="I69" s="3">
        <v>0</v>
      </c>
      <c r="J69" s="3" t="str">
        <v>South Blue</v>
      </c>
      <c r="K69" s="3" t="str">
        <v>Active</v>
      </c>
      <c r="L69" s="3" t="str">
        <v>Shipwright</v>
      </c>
      <c r="M69" s="3">
        <v>240</v>
      </c>
      <c r="N69" s="3" t="str">
        <v>Water 7</v>
      </c>
    </row>
    <row r="70" spans="2:14" x14ac:dyDescent="0.3">
      <c r="B70" s="3" t="str">
        <v>Catarina Devon</v>
      </c>
      <c r="C70" s="3" t="str">
        <v>Female</v>
      </c>
      <c r="D70" s="3" t="str">
        <v>Blackbeard Pirates</v>
      </c>
      <c r="E70" s="3" t="str">
        <v>Titanic Captain</v>
      </c>
      <c r="F70" s="3">
        <v>0</v>
      </c>
      <c r="G70" s="3">
        <v>36</v>
      </c>
      <c r="H70" s="3" t="str">
        <v>Yes</v>
      </c>
      <c r="I70" s="3">
        <v>0</v>
      </c>
      <c r="J70" s="3" t="str">
        <v>Grand Line</v>
      </c>
      <c r="K70" s="3" t="str">
        <v>Active</v>
      </c>
      <c r="L70" s="3" t="str">
        <v>Titanic Captain</v>
      </c>
      <c r="M70" s="3">
        <v>361</v>
      </c>
      <c r="N70" s="3" t="str">
        <v>Marineford</v>
      </c>
    </row>
    <row r="71" spans="2:14" x14ac:dyDescent="0.3">
      <c r="B71" s="3" t="str">
        <v>Kin'emon</v>
      </c>
      <c r="C71" s="3" t="str">
        <v>Male</v>
      </c>
      <c r="D71" s="3" t="str">
        <v>Nine Red Scabbards</v>
      </c>
      <c r="E71" s="3" t="str">
        <v>Samurai</v>
      </c>
      <c r="F71" s="3">
        <v>0</v>
      </c>
      <c r="G71" s="3">
        <v>36</v>
      </c>
      <c r="H71" s="3" t="str">
        <v>No</v>
      </c>
      <c r="I71" s="3" t="str">
        <v>Armament + Observation</v>
      </c>
      <c r="J71" s="3" t="str">
        <v>Wano</v>
      </c>
      <c r="K71" s="3" t="str">
        <v>Active</v>
      </c>
      <c r="L71" s="3" t="str">
        <v>Samurai</v>
      </c>
      <c r="M71" s="3">
        <v>295</v>
      </c>
      <c r="N71" s="3" t="str">
        <v>Punk Hazard</v>
      </c>
    </row>
    <row r="72" spans="2:14" x14ac:dyDescent="0.3">
      <c r="B72" s="3" t="str">
        <v>Smoker</v>
      </c>
      <c r="C72" s="3" t="str">
        <v>Male</v>
      </c>
      <c r="D72" s="3" t="str">
        <v>Marines</v>
      </c>
      <c r="E72" s="3" t="str">
        <v>Vice Admiral</v>
      </c>
      <c r="F72" s="3">
        <v>200</v>
      </c>
      <c r="G72" s="3">
        <v>36</v>
      </c>
      <c r="H72" s="3" t="str">
        <v>Yes</v>
      </c>
      <c r="I72" s="3" t="str">
        <v>Armament + Observation</v>
      </c>
      <c r="J72" s="3" t="str">
        <v>Grand Line</v>
      </c>
      <c r="K72" s="3" t="str">
        <v>Active</v>
      </c>
      <c r="L72" s="3" t="str">
        <v>Vice Admiral</v>
      </c>
      <c r="M72" s="3">
        <v>209</v>
      </c>
      <c r="N72" s="3" t="str">
        <v>Loguetown</v>
      </c>
    </row>
    <row r="73" spans="2:14" x14ac:dyDescent="0.3">
      <c r="B73" s="3" t="str">
        <v>Otohime</v>
      </c>
      <c r="C73" s="3" t="str">
        <v>Female</v>
      </c>
      <c r="D73" s="3" t="str">
        <v>Ryugu Kingdom</v>
      </c>
      <c r="E73" s="3" t="str">
        <v>Queen</v>
      </c>
      <c r="F73" s="3">
        <v>0</v>
      </c>
      <c r="G73" s="3">
        <v>36</v>
      </c>
      <c r="H73" s="3" t="str">
        <v>No</v>
      </c>
      <c r="I73" s="3" t="str">
        <v>Observation</v>
      </c>
      <c r="J73" s="3" t="str">
        <v>Fish-Man Island</v>
      </c>
      <c r="K73" s="3" t="str">
        <v>Deceased</v>
      </c>
      <c r="L73" s="3" t="str">
        <v>Queen</v>
      </c>
      <c r="M73" s="3">
        <v>224</v>
      </c>
      <c r="N73" s="3" t="str">
        <v>Fish-Man Island flashback</v>
      </c>
    </row>
    <row r="74" spans="2:14" x14ac:dyDescent="0.3">
      <c r="B74" s="3" t="str">
        <v>Stussy (clone)</v>
      </c>
      <c r="C74" s="3" t="str">
        <v>Female</v>
      </c>
      <c r="D74" s="3" t="str">
        <v>CP0</v>
      </c>
      <c r="E74" s="3" t="str">
        <v>Agent</v>
      </c>
      <c r="F74" s="3">
        <v>570</v>
      </c>
      <c r="G74" s="3">
        <v>36</v>
      </c>
      <c r="H74" s="3" t="str">
        <v>Yes</v>
      </c>
      <c r="I74" s="3">
        <v>0</v>
      </c>
      <c r="J74" s="3" t="str">
        <v>Grand Line</v>
      </c>
      <c r="K74" s="3" t="str">
        <v>Active</v>
      </c>
      <c r="L74" s="3" t="str">
        <v>CP0</v>
      </c>
      <c r="M74" s="3">
        <v>179</v>
      </c>
      <c r="N74" s="3" t="str">
        <v>Egghead</v>
      </c>
    </row>
    <row r="75" spans="2:14" x14ac:dyDescent="0.3">
      <c r="B75" s="3" t="str">
        <v>Vander Decken IX</v>
      </c>
      <c r="C75" s="3" t="str">
        <v>Male</v>
      </c>
      <c r="D75" s="3" t="str">
        <v>Flying Pirates</v>
      </c>
      <c r="E75" s="3" t="str">
        <v>Captain</v>
      </c>
      <c r="F75" s="3">
        <v>0</v>
      </c>
      <c r="G75" s="3">
        <v>35</v>
      </c>
      <c r="H75" s="3" t="str">
        <v>Yes</v>
      </c>
      <c r="I75" s="3">
        <v>0</v>
      </c>
      <c r="J75" s="3" t="str">
        <v>Fish-Man Island</v>
      </c>
      <c r="K75" s="3" t="str">
        <v>Imprisoned</v>
      </c>
      <c r="L75" s="3" t="str">
        <v>Captain</v>
      </c>
      <c r="M75" s="3">
        <v>352</v>
      </c>
      <c r="N75" s="3" t="str">
        <v>Fish-Man Island</v>
      </c>
    </row>
    <row r="76" spans="2:14" x14ac:dyDescent="0.3">
      <c r="B76" s="3" t="str">
        <v>Charlotte Smoothie</v>
      </c>
      <c r="C76" s="3" t="str">
        <v>Female</v>
      </c>
      <c r="D76" s="3" t="str">
        <v>Big Mom Pirates</v>
      </c>
      <c r="E76" s="3" t="str">
        <v>Sweet Commander</v>
      </c>
      <c r="F76" s="3">
        <v>932</v>
      </c>
      <c r="G76" s="3">
        <v>35</v>
      </c>
      <c r="H76" s="3" t="str">
        <v>Yes</v>
      </c>
      <c r="I76" s="3">
        <v>0</v>
      </c>
      <c r="J76" s="3" t="str">
        <v>South Blue</v>
      </c>
      <c r="K76" s="3" t="str">
        <v>Active</v>
      </c>
      <c r="L76" s="3" t="str">
        <v>Sweet Commander</v>
      </c>
      <c r="M76" s="3">
        <v>464</v>
      </c>
      <c r="N76" s="3" t="str">
        <v>Whole Cake Island</v>
      </c>
    </row>
    <row r="77" spans="2:14" x14ac:dyDescent="0.3">
      <c r="B77" s="3" t="str">
        <v>Kuro</v>
      </c>
      <c r="C77" s="3" t="str">
        <v>Male</v>
      </c>
      <c r="D77" s="3" t="str">
        <v>Black Cat Pirates</v>
      </c>
      <c r="E77" s="3" t="str">
        <v>Captain</v>
      </c>
      <c r="F77" s="3">
        <v>16</v>
      </c>
      <c r="G77" s="3">
        <v>35</v>
      </c>
      <c r="H77" s="3" t="str">
        <v>No</v>
      </c>
      <c r="I77" s="3">
        <v>0</v>
      </c>
      <c r="J77" s="3" t="str">
        <v>East Blue</v>
      </c>
      <c r="K77" s="3" t="str">
        <v>Unknown</v>
      </c>
      <c r="L77" s="3" t="str">
        <v>Captain</v>
      </c>
      <c r="M77" s="3">
        <v>207</v>
      </c>
      <c r="N77" s="3" t="str">
        <v>Syrup Village</v>
      </c>
    </row>
    <row r="78" spans="2:14" x14ac:dyDescent="0.3">
      <c r="B78" s="3" t="str">
        <v>Hina</v>
      </c>
      <c r="C78" s="3" t="str">
        <v>Female</v>
      </c>
      <c r="D78" s="3" t="str">
        <v>Marines</v>
      </c>
      <c r="E78" s="3" t="str">
        <v>Rear Admiral</v>
      </c>
      <c r="F78" s="3">
        <v>50</v>
      </c>
      <c r="G78" s="3">
        <v>34</v>
      </c>
      <c r="H78" s="3" t="str">
        <v>Yes</v>
      </c>
      <c r="I78" s="3">
        <v>0</v>
      </c>
      <c r="J78" s="3" t="str">
        <v>West Blue</v>
      </c>
      <c r="K78" s="3" t="str">
        <v>Active</v>
      </c>
      <c r="L78" s="3" t="str">
        <v>Rear Admiral</v>
      </c>
      <c r="M78" s="3">
        <v>181</v>
      </c>
      <c r="N78" s="3" t="str">
        <v>Alabasta</v>
      </c>
    </row>
    <row r="79" spans="2:14" x14ac:dyDescent="0.3">
      <c r="B79" s="3" t="str">
        <v>Belo Betty</v>
      </c>
      <c r="C79" s="3" t="str">
        <v>Female</v>
      </c>
      <c r="D79" s="3" t="str">
        <v>Revolutionary Army</v>
      </c>
      <c r="E79" s="3" t="str">
        <v>Commander</v>
      </c>
      <c r="F79" s="3">
        <v>0</v>
      </c>
      <c r="G79" s="3">
        <v>34</v>
      </c>
      <c r="H79" s="3" t="str">
        <v>Yes</v>
      </c>
      <c r="I79" s="3">
        <v>0</v>
      </c>
      <c r="J79" s="3" t="str">
        <v>East Blue</v>
      </c>
      <c r="K79" s="3" t="str">
        <v>Active</v>
      </c>
      <c r="L79" s="3" t="str">
        <v>Commander</v>
      </c>
      <c r="M79" s="3">
        <v>196</v>
      </c>
      <c r="N79" s="3" t="str">
        <v>Lulusia</v>
      </c>
    </row>
    <row r="80" spans="2:14" x14ac:dyDescent="0.3">
      <c r="B80" s="3" t="str">
        <v>X Drake</v>
      </c>
      <c r="C80" s="3" t="str">
        <v>Male</v>
      </c>
      <c r="D80" s="3" t="str">
        <v>Drake Pirates / Marines</v>
      </c>
      <c r="E80" s="3" t="str">
        <v>Captain</v>
      </c>
      <c r="F80" s="3">
        <v>222</v>
      </c>
      <c r="G80" s="3">
        <v>33</v>
      </c>
      <c r="H80" s="3" t="str">
        <v>Yes</v>
      </c>
      <c r="I80" s="3" t="str">
        <v>Armament + Observation</v>
      </c>
      <c r="J80" s="3" t="str">
        <v>North Blue</v>
      </c>
      <c r="K80" s="3" t="str">
        <v>Active</v>
      </c>
      <c r="L80" s="3" t="str">
        <v>Supernova</v>
      </c>
      <c r="M80" s="3">
        <v>233</v>
      </c>
      <c r="N80" s="3" t="str">
        <v>Sabaody Archipelago</v>
      </c>
    </row>
    <row r="81" spans="2:14" x14ac:dyDescent="0.3">
      <c r="B81" s="3" t="str">
        <v>Pedro</v>
      </c>
      <c r="C81" s="3" t="str">
        <v>Male</v>
      </c>
      <c r="D81" s="3" t="str">
        <v>Mink Tribe</v>
      </c>
      <c r="E81" s="3" t="str">
        <v>Fighter</v>
      </c>
      <c r="F81" s="3">
        <v>382</v>
      </c>
      <c r="G81" s="3">
        <v>32</v>
      </c>
      <c r="H81" s="3" t="str">
        <v>No</v>
      </c>
      <c r="I81" s="3" t="str">
        <v>Armament + Observation</v>
      </c>
      <c r="J81" s="3" t="str">
        <v>Zou</v>
      </c>
      <c r="K81" s="3" t="str">
        <v>Deceased</v>
      </c>
      <c r="L81" s="3" t="str">
        <v>Fighter</v>
      </c>
      <c r="M81" s="3">
        <v>233</v>
      </c>
      <c r="N81" s="3" t="str">
        <v>Zou</v>
      </c>
    </row>
    <row r="82" spans="2:14" x14ac:dyDescent="0.3">
      <c r="B82" s="3" t="str">
        <v>Bentham (Bon Clay)</v>
      </c>
      <c r="C82" s="3" t="str">
        <v>Male</v>
      </c>
      <c r="D82" s="3" t="str">
        <v>Baroque Works</v>
      </c>
      <c r="E82" s="3" t="str">
        <v>Officer</v>
      </c>
      <c r="F82" s="3">
        <v>32</v>
      </c>
      <c r="G82" s="3">
        <v>32</v>
      </c>
      <c r="H82" s="3" t="str">
        <v>Yes</v>
      </c>
      <c r="I82" s="3">
        <v>0</v>
      </c>
      <c r="J82" s="3" t="str">
        <v>Grand Line</v>
      </c>
      <c r="K82" s="3" t="str">
        <v>Active</v>
      </c>
      <c r="L82" s="3" t="str">
        <v>Officer</v>
      </c>
      <c r="M82" s="3">
        <v>238</v>
      </c>
      <c r="N82" s="3" t="str">
        <v>Alabasta</v>
      </c>
    </row>
    <row r="83" spans="2:14" x14ac:dyDescent="0.3">
      <c r="B83" s="3" t="str">
        <v>Basil Hawkins</v>
      </c>
      <c r="C83" s="3" t="str">
        <v>Male</v>
      </c>
      <c r="D83" s="3" t="str">
        <v>Hawkins Pirates</v>
      </c>
      <c r="E83" s="3" t="str">
        <v>Captain</v>
      </c>
      <c r="F83" s="3">
        <v>320</v>
      </c>
      <c r="G83" s="3">
        <v>31</v>
      </c>
      <c r="H83" s="3" t="str">
        <v>Yes</v>
      </c>
      <c r="I83" s="3" t="str">
        <v>Armament + Observation</v>
      </c>
      <c r="J83" s="3" t="str">
        <v>North Blue</v>
      </c>
      <c r="K83" s="3" t="str">
        <v>Defeated</v>
      </c>
      <c r="L83" s="3" t="str">
        <v>Supernova</v>
      </c>
      <c r="M83" s="3">
        <v>210</v>
      </c>
      <c r="N83" s="3" t="str">
        <v>Sabaody Archipelago</v>
      </c>
    </row>
    <row r="84" spans="2:14" x14ac:dyDescent="0.3">
      <c r="B84" s="3" t="str">
        <v>Charlotte Galette</v>
      </c>
      <c r="C84" s="3" t="str">
        <v>Female</v>
      </c>
      <c r="D84" s="3" t="str">
        <v>Big Mom Pirates</v>
      </c>
      <c r="E84" s="3" t="str">
        <v>Officer</v>
      </c>
      <c r="F84" s="3">
        <v>0</v>
      </c>
      <c r="G84" s="3">
        <v>31</v>
      </c>
      <c r="H84" s="3" t="str">
        <v>Yes</v>
      </c>
      <c r="I84" s="3">
        <v>0</v>
      </c>
      <c r="J84" s="3" t="str">
        <v>South Blue</v>
      </c>
      <c r="K84" s="3" t="str">
        <v>Active</v>
      </c>
      <c r="L84" s="3" t="str">
        <v>Officer</v>
      </c>
      <c r="M84" s="3">
        <v>158</v>
      </c>
      <c r="N84" s="3" t="str">
        <v>Whole Cake Island</v>
      </c>
    </row>
    <row r="85" spans="2:14" x14ac:dyDescent="0.3">
      <c r="B85" s="3" t="str">
        <v>Scratchmen Apoo</v>
      </c>
      <c r="C85" s="3" t="str">
        <v>Male</v>
      </c>
      <c r="D85" s="3" t="str">
        <v>On Air Pirates</v>
      </c>
      <c r="E85" s="3" t="str">
        <v>Captain</v>
      </c>
      <c r="F85" s="3">
        <v>350</v>
      </c>
      <c r="G85" s="3">
        <v>31</v>
      </c>
      <c r="H85" s="3" t="str">
        <v>Yes</v>
      </c>
      <c r="I85" s="3" t="str">
        <v>Armament + Observation</v>
      </c>
      <c r="J85" s="3" t="str">
        <v>Grand Line</v>
      </c>
      <c r="K85" s="3" t="str">
        <v>Active</v>
      </c>
      <c r="L85" s="3" t="str">
        <v>Supernova</v>
      </c>
      <c r="M85" s="3">
        <v>256</v>
      </c>
      <c r="N85" s="3" t="str">
        <v>Sabaody Archipelago</v>
      </c>
    </row>
    <row r="86" spans="2:14" x14ac:dyDescent="0.3">
      <c r="B86" s="3" t="str">
        <v>Daz Bones (Mr. 1)</v>
      </c>
      <c r="C86" s="3" t="str">
        <v>Male</v>
      </c>
      <c r="D86" s="3" t="str">
        <v>Baroque Works</v>
      </c>
      <c r="E86" s="3" t="str">
        <v>Officer</v>
      </c>
      <c r="F86" s="3">
        <v>75</v>
      </c>
      <c r="G86" s="3">
        <v>31</v>
      </c>
      <c r="H86" s="3" t="str">
        <v>Yes</v>
      </c>
      <c r="I86" s="3">
        <v>0</v>
      </c>
      <c r="J86" s="3" t="str">
        <v>West Blue</v>
      </c>
      <c r="K86" s="3" t="str">
        <v>Active</v>
      </c>
      <c r="L86" s="3" t="str">
        <v>Officer</v>
      </c>
      <c r="M86" s="3">
        <v>212</v>
      </c>
      <c r="N86" s="3" t="str">
        <v>Alabasta</v>
      </c>
    </row>
    <row r="87" spans="2:14" x14ac:dyDescent="0.3">
      <c r="B87" s="3" t="str">
        <v>Boa Hancock</v>
      </c>
      <c r="C87" s="3" t="str">
        <v>Female</v>
      </c>
      <c r="D87" s="3" t="str">
        <v>Kuja Pirates</v>
      </c>
      <c r="E87" s="3" t="str">
        <v>Captain</v>
      </c>
      <c r="F87" s="3">
        <v>1659</v>
      </c>
      <c r="G87" s="3">
        <v>31</v>
      </c>
      <c r="H87" s="3" t="str">
        <v>Yes</v>
      </c>
      <c r="I87" s="3" t="str">
        <v>oo</v>
      </c>
      <c r="J87" s="3" t="str">
        <v>Amazon Lily</v>
      </c>
      <c r="K87" s="3" t="str">
        <v>Active</v>
      </c>
      <c r="L87" s="3" t="str">
        <v>Warlord</v>
      </c>
      <c r="M87" s="3">
        <v>191</v>
      </c>
      <c r="N87" s="3" t="str">
        <v>Amazon Lily</v>
      </c>
    </row>
    <row r="88" spans="2:14" x14ac:dyDescent="0.3">
      <c r="B88" s="3" t="str">
        <v>Nico Robin</v>
      </c>
      <c r="C88" s="3" t="str">
        <v>Female</v>
      </c>
      <c r="D88" s="3" t="str">
        <v>Straw Hat Pirates</v>
      </c>
      <c r="E88" s="3" t="str">
        <v>Archaeologist</v>
      </c>
      <c r="F88" s="3">
        <v>930</v>
      </c>
      <c r="G88" s="3">
        <v>30</v>
      </c>
      <c r="H88" s="3" t="str">
        <v>Yes</v>
      </c>
      <c r="I88" s="3">
        <v>0</v>
      </c>
      <c r="J88" s="3" t="str">
        <v>West Blue</v>
      </c>
      <c r="K88" s="3" t="str">
        <v>Active</v>
      </c>
      <c r="L88" s="3" t="str">
        <v>Officer</v>
      </c>
      <c r="M88" s="3">
        <v>188</v>
      </c>
      <c r="N88" s="3" t="str">
        <v>Alabasta</v>
      </c>
    </row>
    <row r="89" spans="2:14" x14ac:dyDescent="0.3">
      <c r="B89" s="3" t="str">
        <v>Hody Jones</v>
      </c>
      <c r="C89" s="3" t="str">
        <v>Male</v>
      </c>
      <c r="D89" s="3" t="str">
        <v>New Fish-Man Pirates</v>
      </c>
      <c r="E89" s="3" t="str">
        <v>Captain</v>
      </c>
      <c r="F89" s="3">
        <v>20</v>
      </c>
      <c r="G89" s="3">
        <v>30</v>
      </c>
      <c r="H89" s="3" t="str">
        <v>Yes</v>
      </c>
      <c r="I89" s="3">
        <v>0</v>
      </c>
      <c r="J89" s="3" t="str">
        <v>Fish-Man Island</v>
      </c>
      <c r="K89" s="3" t="str">
        <v>Defeated</v>
      </c>
      <c r="L89" s="3" t="str">
        <v>Captain</v>
      </c>
      <c r="M89" s="3">
        <v>331</v>
      </c>
      <c r="N89" s="3" t="str">
        <v>Fish-Man Island</v>
      </c>
    </row>
    <row r="90" spans="2:14" x14ac:dyDescent="0.3">
      <c r="B90" s="3" t="str">
        <v>Bell-mère</v>
      </c>
      <c r="C90" s="3" t="str">
        <v>Female</v>
      </c>
      <c r="D90" s="3" t="str">
        <v>Marines / Cocoyasi Village</v>
      </c>
      <c r="E90" s="3" t="str">
        <v>Marine / Mother</v>
      </c>
      <c r="F90" s="3">
        <v>0</v>
      </c>
      <c r="G90" s="3">
        <v>30</v>
      </c>
      <c r="H90" s="3" t="str">
        <v>No</v>
      </c>
      <c r="I90" s="3">
        <v>0</v>
      </c>
      <c r="J90" s="3" t="str">
        <v>East Blue</v>
      </c>
      <c r="K90" s="3" t="str">
        <v>Deceased</v>
      </c>
      <c r="L90" s="3" t="str">
        <v>Marine</v>
      </c>
      <c r="M90" s="3">
        <v>186</v>
      </c>
      <c r="N90" s="3" t="str">
        <v>Arlong Park flashback</v>
      </c>
    </row>
    <row r="91" spans="2:14" x14ac:dyDescent="0.3">
      <c r="B91" s="3" t="str">
        <v>Blueno</v>
      </c>
      <c r="C91" s="3" t="str">
        <v>Male</v>
      </c>
      <c r="D91" s="3" t="str">
        <v>CP9</v>
      </c>
      <c r="E91" s="3" t="str">
        <v>Agent</v>
      </c>
      <c r="F91" s="3">
        <v>0</v>
      </c>
      <c r="G91" s="3">
        <v>30</v>
      </c>
      <c r="H91" s="3" t="str">
        <v>Yes</v>
      </c>
      <c r="I91" s="3" t="str">
        <v>Armament + Observation</v>
      </c>
      <c r="J91" s="3" t="str">
        <v>Grand Line</v>
      </c>
      <c r="K91" s="3" t="str">
        <v>Active</v>
      </c>
      <c r="L91" s="3" t="str">
        <v>CP9</v>
      </c>
      <c r="M91" s="3">
        <v>258</v>
      </c>
      <c r="N91" s="3" t="str">
        <v>Water 7</v>
      </c>
    </row>
    <row r="92" spans="2:14" x14ac:dyDescent="0.3">
      <c r="B92" s="3" t="str">
        <v>Rob Lucci</v>
      </c>
      <c r="C92" s="3" t="str">
        <v>Male</v>
      </c>
      <c r="D92" s="3" t="str">
        <v>CP0 / World Government</v>
      </c>
      <c r="E92" s="3" t="str">
        <v>Agent</v>
      </c>
      <c r="F92" s="3">
        <v>500</v>
      </c>
      <c r="G92" s="3">
        <v>30</v>
      </c>
      <c r="H92" s="3" t="str">
        <v>No</v>
      </c>
      <c r="I92" s="3" t="str">
        <v>Armament + Observation</v>
      </c>
      <c r="J92" s="3" t="str">
        <v>Grand Line</v>
      </c>
      <c r="K92" s="3" t="str">
        <v>Active</v>
      </c>
      <c r="L92" s="3" t="str">
        <v>CP0</v>
      </c>
      <c r="M92" s="3">
        <v>212</v>
      </c>
      <c r="N92" s="3" t="str">
        <v>Water 7</v>
      </c>
    </row>
    <row r="93" spans="2:14" x14ac:dyDescent="0.3">
      <c r="B93" s="3" t="str">
        <v>Sandersonia</v>
      </c>
      <c r="C93" s="3" t="str">
        <v>Female</v>
      </c>
      <c r="D93" s="3" t="str">
        <v>Kuja Pirates</v>
      </c>
      <c r="E93" s="3" t="str">
        <v>Warrior</v>
      </c>
      <c r="F93" s="3">
        <v>0</v>
      </c>
      <c r="G93" s="3">
        <v>30</v>
      </c>
      <c r="H93" s="3" t="str">
        <v>Yes</v>
      </c>
      <c r="I93" s="3" t="str">
        <v>Observation + Armament</v>
      </c>
      <c r="J93" s="3" t="str">
        <v>Amazon Lily</v>
      </c>
      <c r="K93" s="3" t="str">
        <v>Active</v>
      </c>
      <c r="L93" s="3" t="str">
        <v>Warrior</v>
      </c>
      <c r="M93" s="3">
        <v>453</v>
      </c>
      <c r="N93" s="3" t="str">
        <v>Amazon Lily</v>
      </c>
    </row>
    <row r="94" spans="2:14" x14ac:dyDescent="0.3">
      <c r="B94" s="3" t="str">
        <v>Boa Sandersonia</v>
      </c>
      <c r="C94" s="3" t="str">
        <v>Female</v>
      </c>
      <c r="D94" s="3" t="str">
        <v>Kuja Pirates</v>
      </c>
      <c r="E94" s="3" t="str">
        <v>Warrior</v>
      </c>
      <c r="F94" s="3">
        <v>0</v>
      </c>
      <c r="G94" s="3">
        <v>30</v>
      </c>
      <c r="H94" s="3" t="str">
        <v>Yes</v>
      </c>
      <c r="I94" s="3" t="str">
        <v>Observation + Armament</v>
      </c>
      <c r="J94" s="3" t="str">
        <v>Amazon Lily</v>
      </c>
      <c r="K94" s="3" t="str">
        <v>Active</v>
      </c>
      <c r="L94" s="3" t="str">
        <v>Warrior</v>
      </c>
      <c r="M94" s="3">
        <v>453</v>
      </c>
      <c r="N94" s="3" t="str">
        <v>Amazon Lily</v>
      </c>
    </row>
    <row r="95" spans="2:14" x14ac:dyDescent="0.3">
      <c r="B95" s="3" t="str">
        <v>Charlotte Snack</v>
      </c>
      <c r="C95" s="3" t="str">
        <v>Male</v>
      </c>
      <c r="D95" s="3" t="str">
        <v>Big Mom Pirates</v>
      </c>
      <c r="E95" s="3" t="str">
        <v>Sweet Commander</v>
      </c>
      <c r="F95" s="3">
        <v>600</v>
      </c>
      <c r="G95" s="3">
        <v>30</v>
      </c>
      <c r="H95" s="3" t="str">
        <v>Yes</v>
      </c>
      <c r="I95" s="3">
        <v>0</v>
      </c>
      <c r="J95" s="3" t="str">
        <v>South Blue</v>
      </c>
      <c r="K95" s="3" t="str">
        <v>Active</v>
      </c>
      <c r="L95" s="3" t="str">
        <v>Sweet Commander</v>
      </c>
      <c r="M95" s="3">
        <v>450</v>
      </c>
      <c r="N95" s="3" t="str">
        <v>Whole Cake Island</v>
      </c>
    </row>
    <row r="96" spans="2:14" x14ac:dyDescent="0.3">
      <c r="B96" s="3" t="str">
        <v>Monet</v>
      </c>
      <c r="C96" s="3" t="str">
        <v>Female</v>
      </c>
      <c r="D96" s="3" t="str">
        <v>Donquixote Pirates</v>
      </c>
      <c r="E96" s="3" t="str">
        <v>Officer</v>
      </c>
      <c r="F96" s="3">
        <v>0</v>
      </c>
      <c r="G96" s="3">
        <v>30</v>
      </c>
      <c r="H96" s="3" t="str">
        <v>Yes</v>
      </c>
      <c r="I96" s="3">
        <v>0</v>
      </c>
      <c r="J96" s="3" t="str">
        <v>North Blue</v>
      </c>
      <c r="K96" s="3" t="str">
        <v>Deceased</v>
      </c>
      <c r="L96" s="3" t="str">
        <v>Officer</v>
      </c>
      <c r="M96" s="3">
        <v>227</v>
      </c>
      <c r="N96" s="3" t="str">
        <v>Punk Hazard</v>
      </c>
    </row>
    <row r="97" spans="2:14" x14ac:dyDescent="0.3">
      <c r="B97" s="3" t="str">
        <v>Fukuro</v>
      </c>
      <c r="C97" s="3" t="str">
        <v>Male</v>
      </c>
      <c r="D97" s="3" t="str">
        <v>CP9</v>
      </c>
      <c r="E97" s="3" t="str">
        <v>Agent</v>
      </c>
      <c r="F97" s="3">
        <v>0</v>
      </c>
      <c r="G97" s="3">
        <v>29</v>
      </c>
      <c r="H97" s="3" t="str">
        <v>No</v>
      </c>
      <c r="I97" s="3">
        <v>0</v>
      </c>
      <c r="J97" s="3" t="str">
        <v>Grand Line</v>
      </c>
      <c r="K97" s="3" t="str">
        <v>Active</v>
      </c>
      <c r="L97" s="3" t="str">
        <v>CP9</v>
      </c>
      <c r="M97" s="3">
        <v>331</v>
      </c>
      <c r="N97" s="3" t="str">
        <v>Water 7</v>
      </c>
    </row>
    <row r="98" spans="2:14" x14ac:dyDescent="0.3">
      <c r="B98" s="3" t="str">
        <v>Viola</v>
      </c>
      <c r="C98" s="3" t="str">
        <v>Female</v>
      </c>
      <c r="D98" s="3" t="str">
        <v>Dressrosa</v>
      </c>
      <c r="E98" s="3" t="str">
        <v>Princess</v>
      </c>
      <c r="F98" s="3">
        <v>0</v>
      </c>
      <c r="G98" s="3">
        <v>29</v>
      </c>
      <c r="H98" s="3" t="str">
        <v>No</v>
      </c>
      <c r="I98" s="3" t="str">
        <v>Observation</v>
      </c>
      <c r="J98" s="3" t="str">
        <v>Grand Line</v>
      </c>
      <c r="K98" s="3" t="str">
        <v>Active</v>
      </c>
      <c r="L98" s="3" t="str">
        <v>Princess</v>
      </c>
      <c r="M98" s="3">
        <v>178</v>
      </c>
      <c r="N98" s="3" t="str">
        <v>Dressrosa</v>
      </c>
    </row>
    <row r="99" spans="2:14" x14ac:dyDescent="0.3">
      <c r="B99" s="3" t="str">
        <v>Inazuma</v>
      </c>
      <c r="C99" s="3" t="str">
        <v>Female</v>
      </c>
      <c r="D99" s="3" t="str">
        <v>Revolutionary Army</v>
      </c>
      <c r="E99" s="3" t="str">
        <v>Commander</v>
      </c>
      <c r="F99" s="3">
        <v>100</v>
      </c>
      <c r="G99" s="3">
        <v>29</v>
      </c>
      <c r="H99" s="3" t="str">
        <v>Yes</v>
      </c>
      <c r="I99" s="3">
        <v>0</v>
      </c>
      <c r="J99" s="3" t="str">
        <v>East Blue</v>
      </c>
      <c r="K99" s="3" t="str">
        <v>Active</v>
      </c>
      <c r="L99" s="3" t="str">
        <v>Commander</v>
      </c>
      <c r="M99" s="3">
        <v>228</v>
      </c>
      <c r="N99" s="3" t="str">
        <v>Impel Down</v>
      </c>
    </row>
    <row r="100" spans="2:14" x14ac:dyDescent="0.3">
      <c r="B100" s="3" t="str">
        <v>Black Maria</v>
      </c>
      <c r="C100" s="3" t="str">
        <v>Female</v>
      </c>
      <c r="D100" s="3" t="str">
        <v>Beasts Pirates</v>
      </c>
      <c r="E100" s="3" t="str">
        <v>Tobiroppo</v>
      </c>
      <c r="F100" s="3">
        <v>480</v>
      </c>
      <c r="G100" s="3">
        <v>29</v>
      </c>
      <c r="H100" s="3" t="str">
        <v>Yes</v>
      </c>
      <c r="I100" s="3">
        <v>0</v>
      </c>
      <c r="J100" s="3" t="str">
        <v>Grand Line</v>
      </c>
      <c r="K100" s="3" t="str">
        <v>Defeated</v>
      </c>
      <c r="L100" s="3" t="str">
        <v>Tobiroppo</v>
      </c>
      <c r="M100" s="3">
        <v>820</v>
      </c>
      <c r="N100" s="3" t="str">
        <v>Wano</v>
      </c>
    </row>
    <row r="101" spans="2:14" x14ac:dyDescent="0.3">
      <c r="B101" s="3" t="str">
        <v>Miss All Sunday</v>
      </c>
      <c r="C101" s="3" t="str">
        <v>Female</v>
      </c>
      <c r="D101" s="3" t="str">
        <v>Baroque Works</v>
      </c>
      <c r="E101" s="3" t="str">
        <v>Officer</v>
      </c>
      <c r="F101" s="3">
        <v>930</v>
      </c>
      <c r="G101" s="3">
        <v>28</v>
      </c>
      <c r="H101" s="3" t="str">
        <v>Yes</v>
      </c>
      <c r="I101" s="3">
        <v>0</v>
      </c>
      <c r="J101" s="3" t="str">
        <v>West Blue</v>
      </c>
      <c r="K101" s="3" t="str">
        <v>Active</v>
      </c>
      <c r="L101" s="3" t="str">
        <v>Officer</v>
      </c>
      <c r="M101" s="3">
        <v>188</v>
      </c>
      <c r="N101" s="3" t="str">
        <v>Alabasta</v>
      </c>
    </row>
    <row r="102" spans="2:14" x14ac:dyDescent="0.3">
      <c r="B102" s="3" t="str">
        <v>Don Sai</v>
      </c>
      <c r="C102" s="3" t="str">
        <v>Male</v>
      </c>
      <c r="D102" s="3" t="str">
        <v>Happo Navy</v>
      </c>
      <c r="E102" s="3" t="str">
        <v>Leader</v>
      </c>
      <c r="F102" s="3">
        <v>210</v>
      </c>
      <c r="G102" s="3">
        <v>28</v>
      </c>
      <c r="H102" s="3" t="str">
        <v>No</v>
      </c>
      <c r="I102" s="3" t="str">
        <v>Armament + Observation</v>
      </c>
      <c r="J102" s="3" t="str">
        <v>Grand Line</v>
      </c>
      <c r="K102" s="3" t="str">
        <v>Active</v>
      </c>
      <c r="L102" s="3" t="str">
        <v>Commander</v>
      </c>
      <c r="M102" s="3">
        <v>242</v>
      </c>
      <c r="N102" s="3" t="str">
        <v>Dressrosa</v>
      </c>
    </row>
    <row r="103" spans="2:14" x14ac:dyDescent="0.3">
      <c r="B103" s="3" t="str">
        <v>Jack</v>
      </c>
      <c r="C103" s="3" t="str">
        <v>Male</v>
      </c>
      <c r="D103" s="3" t="str">
        <v>Beasts Pirates</v>
      </c>
      <c r="E103" s="3" t="str">
        <v>All-Star</v>
      </c>
      <c r="F103" s="3">
        <v>1000</v>
      </c>
      <c r="G103" s="3">
        <v>28</v>
      </c>
      <c r="H103" s="3" t="str">
        <v>Yes</v>
      </c>
      <c r="I103" s="3">
        <v>0</v>
      </c>
      <c r="J103" s="3" t="str">
        <v>Grand Line</v>
      </c>
      <c r="K103" s="3" t="str">
        <v>Defeated</v>
      </c>
      <c r="L103" s="3" t="str">
        <v>All-Star</v>
      </c>
      <c r="M103" s="3">
        <v>830</v>
      </c>
      <c r="N103" s="3" t="str">
        <v>Zou</v>
      </c>
    </row>
    <row r="104" spans="2:14" x14ac:dyDescent="0.3">
      <c r="B104" s="3" t="str">
        <v>Marigold</v>
      </c>
      <c r="C104" s="3" t="str">
        <v>Female</v>
      </c>
      <c r="D104" s="3" t="str">
        <v>Kuja Pirates</v>
      </c>
      <c r="E104" s="3" t="str">
        <v>Warrior</v>
      </c>
      <c r="F104" s="3">
        <v>0</v>
      </c>
      <c r="G104" s="3">
        <v>28</v>
      </c>
      <c r="H104" s="3" t="str">
        <v>Yes</v>
      </c>
      <c r="I104" s="3" t="str">
        <v>Observation + Armament</v>
      </c>
      <c r="J104" s="3" t="str">
        <v>Amazon Lily</v>
      </c>
      <c r="K104" s="3" t="str">
        <v>Active</v>
      </c>
      <c r="L104" s="3" t="str">
        <v>Warrior</v>
      </c>
      <c r="M104" s="3">
        <v>432</v>
      </c>
      <c r="N104" s="3" t="str">
        <v>Amazon Lily</v>
      </c>
    </row>
    <row r="105" spans="2:14" x14ac:dyDescent="0.3">
      <c r="B105" s="3" t="str">
        <v>Miss Doublefinger</v>
      </c>
      <c r="C105" s="3" t="str">
        <v>Female</v>
      </c>
      <c r="D105" s="3" t="str">
        <v>Baroque Works</v>
      </c>
      <c r="E105" s="3" t="str">
        <v>Officer</v>
      </c>
      <c r="F105" s="3">
        <v>35</v>
      </c>
      <c r="G105" s="3">
        <v>28</v>
      </c>
      <c r="H105" s="3" t="str">
        <v>Yes</v>
      </c>
      <c r="I105" s="3">
        <v>0</v>
      </c>
      <c r="J105" s="3" t="str">
        <v>West Blue</v>
      </c>
      <c r="K105" s="3" t="str">
        <v>Defeated</v>
      </c>
      <c r="L105" s="3" t="str">
        <v>Officer</v>
      </c>
      <c r="M105" s="3">
        <v>187</v>
      </c>
      <c r="N105" s="3" t="str">
        <v>Alabasta</v>
      </c>
    </row>
    <row r="106" spans="2:14" x14ac:dyDescent="0.3">
      <c r="B106" s="3" t="str">
        <v>Yamato</v>
      </c>
      <c r="C106" s="3" t="str">
        <v>Female</v>
      </c>
      <c r="D106" s="3" t="str">
        <v>Beasts Pirates</v>
      </c>
      <c r="E106" s="3" t="str">
        <v>Samurai</v>
      </c>
      <c r="F106" s="3">
        <v>0</v>
      </c>
      <c r="G106" s="3">
        <v>28</v>
      </c>
      <c r="H106" s="3" t="str">
        <v>Yes</v>
      </c>
      <c r="I106" s="3" t="str">
        <v>All Three</v>
      </c>
      <c r="J106" s="3" t="str">
        <v>Wano</v>
      </c>
      <c r="K106" s="3" t="str">
        <v>Active</v>
      </c>
      <c r="L106" s="3" t="str">
        <v>Samurai</v>
      </c>
      <c r="M106" s="3">
        <v>263</v>
      </c>
      <c r="N106" s="3" t="str">
        <v>Wano</v>
      </c>
    </row>
    <row r="107" spans="2:14" x14ac:dyDescent="0.3">
      <c r="B107" s="3" t="str">
        <v>Boa Marigold</v>
      </c>
      <c r="C107" s="3" t="str">
        <v>Female</v>
      </c>
      <c r="D107" s="3" t="str">
        <v>Kuja Pirates</v>
      </c>
      <c r="E107" s="3" t="str">
        <v>Warrior</v>
      </c>
      <c r="F107" s="3">
        <v>0</v>
      </c>
      <c r="G107" s="3">
        <v>28</v>
      </c>
      <c r="H107" s="3" t="str">
        <v>Yes</v>
      </c>
      <c r="I107" s="3" t="str">
        <v>Observation + Armament</v>
      </c>
      <c r="J107" s="3" t="str">
        <v>Amazon Lily</v>
      </c>
      <c r="K107" s="3" t="str">
        <v>Active</v>
      </c>
      <c r="L107" s="3" t="str">
        <v>Warrior</v>
      </c>
      <c r="M107" s="3">
        <v>432</v>
      </c>
      <c r="N107" s="3" t="str">
        <v>Amazon Lily</v>
      </c>
    </row>
    <row r="108" spans="2:14" x14ac:dyDescent="0.3">
      <c r="B108" s="3" t="str">
        <v>Van Augur</v>
      </c>
      <c r="C108" s="3" t="str">
        <v>Female</v>
      </c>
      <c r="D108" s="3" t="str">
        <v>Blackbeard Pirates</v>
      </c>
      <c r="E108" s="3" t="str">
        <v>Sniper</v>
      </c>
      <c r="F108" s="3">
        <v>0</v>
      </c>
      <c r="G108" s="3">
        <v>27</v>
      </c>
      <c r="H108" s="3" t="str">
        <v>No</v>
      </c>
      <c r="I108" s="3" t="str">
        <v>Observation</v>
      </c>
      <c r="J108" s="3" t="str">
        <v>North Blue</v>
      </c>
      <c r="K108" s="3" t="str">
        <v>Active</v>
      </c>
      <c r="L108" s="3" t="str">
        <v>Titanic Captain</v>
      </c>
      <c r="M108" s="3">
        <v>340</v>
      </c>
      <c r="N108" s="3" t="str">
        <v>Jaya</v>
      </c>
    </row>
    <row r="109" spans="2:14" x14ac:dyDescent="0.3">
      <c r="B109" s="3" t="str">
        <v>Killer</v>
      </c>
      <c r="C109" s="3" t="str">
        <v>Male</v>
      </c>
      <c r="D109" s="3" t="str">
        <v>Kid Pirates</v>
      </c>
      <c r="E109" s="3" t="str">
        <v>Combatant</v>
      </c>
      <c r="F109" s="3">
        <v>200</v>
      </c>
      <c r="G109" s="3">
        <v>27</v>
      </c>
      <c r="H109" s="3" t="str">
        <v>No</v>
      </c>
      <c r="I109" s="3" t="str">
        <v>Armament + Observation</v>
      </c>
      <c r="J109" s="3" t="str">
        <v>South Blue</v>
      </c>
      <c r="K109" s="3" t="str">
        <v>Active</v>
      </c>
      <c r="L109" s="3" t="str">
        <v>Supernova</v>
      </c>
      <c r="M109" s="3">
        <v>195</v>
      </c>
      <c r="N109" s="3" t="str">
        <v>Sabaody Archipelago</v>
      </c>
    </row>
    <row r="110" spans="2:14" x14ac:dyDescent="0.3">
      <c r="B110" s="3" t="str">
        <v>Kalifa</v>
      </c>
      <c r="C110" s="3" t="str">
        <v>Female</v>
      </c>
      <c r="D110" s="3" t="str">
        <v>CP9</v>
      </c>
      <c r="E110" s="3" t="str">
        <v>Agent</v>
      </c>
      <c r="F110" s="3">
        <v>0</v>
      </c>
      <c r="G110" s="3">
        <v>27</v>
      </c>
      <c r="H110" s="3" t="str">
        <v>Yes</v>
      </c>
      <c r="I110" s="3">
        <v>0</v>
      </c>
      <c r="J110" s="3" t="str">
        <v>Grand Line</v>
      </c>
      <c r="K110" s="3" t="str">
        <v>Active</v>
      </c>
      <c r="L110" s="3" t="str">
        <v>CP0</v>
      </c>
      <c r="M110" s="3">
        <v>185</v>
      </c>
      <c r="N110" s="3" t="str">
        <v>Water 7</v>
      </c>
    </row>
    <row r="111" spans="2:14" x14ac:dyDescent="0.3">
      <c r="B111" s="3" t="str">
        <v>Cavendish</v>
      </c>
      <c r="C111" s="3" t="str">
        <v>Male</v>
      </c>
      <c r="D111" s="3" t="str">
        <v>Beautiful Pirates</v>
      </c>
      <c r="E111" s="3" t="str">
        <v>Captain</v>
      </c>
      <c r="F111" s="3">
        <v>330</v>
      </c>
      <c r="G111" s="3">
        <v>26</v>
      </c>
      <c r="H111" s="3" t="str">
        <v>No</v>
      </c>
      <c r="I111" s="3">
        <v>0</v>
      </c>
      <c r="J111" s="3" t="str">
        <v>Grand Line</v>
      </c>
      <c r="K111" s="3" t="str">
        <v>Active</v>
      </c>
      <c r="L111" s="3" t="str">
        <v>Supernova</v>
      </c>
      <c r="M111" s="3">
        <v>208</v>
      </c>
      <c r="N111" s="3" t="str">
        <v>Dressrosa</v>
      </c>
    </row>
    <row r="112" spans="2:14" x14ac:dyDescent="0.3">
      <c r="B112" s="3" t="str">
        <v>Donquixote Rosinante</v>
      </c>
      <c r="C112" s="3" t="str">
        <v>Male</v>
      </c>
      <c r="D112" s="3" t="str">
        <v>Marines / Donquixote Family</v>
      </c>
      <c r="E112" s="3" t="str">
        <v>Marine Officer</v>
      </c>
      <c r="F112" s="3">
        <v>0</v>
      </c>
      <c r="G112" s="3">
        <v>26</v>
      </c>
      <c r="H112" s="3" t="str">
        <v>Yes</v>
      </c>
      <c r="I112" s="3">
        <v>0</v>
      </c>
      <c r="J112" s="3" t="str">
        <v>North Blue</v>
      </c>
      <c r="K112" s="3" t="str">
        <v>Deceased</v>
      </c>
      <c r="L112" s="3" t="str">
        <v>Officer</v>
      </c>
      <c r="M112" s="3">
        <v>293</v>
      </c>
      <c r="N112" s="3" t="str">
        <v>Dressrosa flashback</v>
      </c>
    </row>
    <row r="113" spans="2:14" x14ac:dyDescent="0.3">
      <c r="B113" s="3" t="str">
        <v>Trafalgar D. Water Law</v>
      </c>
      <c r="C113" s="3" t="str">
        <v>Male</v>
      </c>
      <c r="D113" s="3" t="str">
        <v>Heart Pirates</v>
      </c>
      <c r="E113" s="3" t="str">
        <v>Captain</v>
      </c>
      <c r="F113" s="3">
        <v>3000</v>
      </c>
      <c r="G113" s="3">
        <v>26</v>
      </c>
      <c r="H113" s="3" t="str">
        <v>Yes</v>
      </c>
      <c r="I113" s="3" t="str">
        <v>Observation + Armament</v>
      </c>
      <c r="J113" s="3" t="str">
        <v>North Blue</v>
      </c>
      <c r="K113" s="3" t="str">
        <v>Active</v>
      </c>
      <c r="L113" s="3" t="str">
        <v>Captain</v>
      </c>
      <c r="M113" s="3">
        <v>191</v>
      </c>
      <c r="N113" s="3" t="str">
        <v>Sabaody Archipelago</v>
      </c>
    </row>
    <row r="114" spans="2:14" x14ac:dyDescent="0.3">
      <c r="B114" s="3" t="str">
        <v>Miss Valentine</v>
      </c>
      <c r="C114" s="3" t="str">
        <v>Female</v>
      </c>
      <c r="D114" s="3" t="str">
        <v>Baroque Works</v>
      </c>
      <c r="E114" s="3" t="str">
        <v>Officer</v>
      </c>
      <c r="F114" s="3">
        <v>7</v>
      </c>
      <c r="G114" s="3">
        <v>26</v>
      </c>
      <c r="H114" s="3" t="str">
        <v>Yes</v>
      </c>
      <c r="I114" s="3">
        <v>0</v>
      </c>
      <c r="J114" s="3" t="str">
        <v>West Blue</v>
      </c>
      <c r="K114" s="3" t="str">
        <v>Active</v>
      </c>
      <c r="L114" s="3" t="str">
        <v>Officer</v>
      </c>
      <c r="M114" s="3">
        <v>180</v>
      </c>
      <c r="N114" s="3" t="str">
        <v>Whiskey Peak</v>
      </c>
    </row>
    <row r="115" spans="2:14" x14ac:dyDescent="0.3">
      <c r="B115" s="3" t="str">
        <v>Perona</v>
      </c>
      <c r="C115" s="3" t="str">
        <v>Female</v>
      </c>
      <c r="D115" s="3" t="str">
        <v>Thriller Bark Pirates</v>
      </c>
      <c r="E115" s="3" t="str">
        <v>Officer</v>
      </c>
      <c r="F115" s="3">
        <v>32</v>
      </c>
      <c r="G115" s="3">
        <v>25</v>
      </c>
      <c r="H115" s="3" t="str">
        <v>Yes</v>
      </c>
      <c r="I115" s="3">
        <v>0</v>
      </c>
      <c r="J115" s="3" t="str">
        <v>West Blue</v>
      </c>
      <c r="K115" s="3" t="str">
        <v>Active</v>
      </c>
      <c r="L115" s="3" t="str">
        <v>Officer</v>
      </c>
      <c r="M115" s="3">
        <v>160</v>
      </c>
      <c r="N115" s="3" t="str">
        <v>Thriller Bark</v>
      </c>
    </row>
    <row r="116" spans="2:14" x14ac:dyDescent="0.3">
      <c r="B116" s="3" t="str">
        <v>Kaku</v>
      </c>
      <c r="C116" s="3" t="str">
        <v>Male</v>
      </c>
      <c r="D116" s="3" t="str">
        <v>CP0 / World Government</v>
      </c>
      <c r="E116" s="3" t="str">
        <v>Agent</v>
      </c>
      <c r="F116" s="3">
        <v>0</v>
      </c>
      <c r="G116" s="3">
        <v>25</v>
      </c>
      <c r="H116" s="3" t="str">
        <v>Yes</v>
      </c>
      <c r="I116" s="3" t="str">
        <v>Armament + Observation</v>
      </c>
      <c r="J116" s="3" t="str">
        <v>East Blue</v>
      </c>
      <c r="K116" s="3" t="str">
        <v>Active</v>
      </c>
      <c r="L116" s="3" t="str">
        <v>CP0</v>
      </c>
      <c r="M116" s="3">
        <v>212</v>
      </c>
      <c r="N116" s="3" t="str">
        <v>Water 7</v>
      </c>
    </row>
    <row r="117" spans="2:14" x14ac:dyDescent="0.3">
      <c r="B117" s="3" t="str">
        <v>Gin</v>
      </c>
      <c r="C117" s="3" t="str">
        <v>Male</v>
      </c>
      <c r="D117" s="3" t="str">
        <v>Krieg Pirates</v>
      </c>
      <c r="E117" s="3" t="str">
        <v>Combat Commander</v>
      </c>
      <c r="F117" s="3">
        <v>12</v>
      </c>
      <c r="G117" s="3">
        <v>25</v>
      </c>
      <c r="H117" s="3" t="str">
        <v>No</v>
      </c>
      <c r="I117" s="3">
        <v>0</v>
      </c>
      <c r="J117" s="3" t="str">
        <v>East Blue</v>
      </c>
      <c r="K117" s="3" t="str">
        <v>Unknown</v>
      </c>
      <c r="L117" s="3" t="str">
        <v>Commander</v>
      </c>
      <c r="M117" s="3">
        <v>186</v>
      </c>
      <c r="N117" s="3" t="str">
        <v>Baratie</v>
      </c>
    </row>
    <row r="118" spans="2:14" x14ac:dyDescent="0.3">
      <c r="B118" s="3" t="str">
        <v>Alvida</v>
      </c>
      <c r="C118" s="3" t="str">
        <v>Female</v>
      </c>
      <c r="D118" s="3" t="str">
        <v>Alvida Pirates</v>
      </c>
      <c r="E118" s="3" t="str">
        <v>Captain</v>
      </c>
      <c r="F118" s="3">
        <v>5</v>
      </c>
      <c r="G118" s="3">
        <v>25</v>
      </c>
      <c r="H118" s="3" t="str">
        <v>Yes</v>
      </c>
      <c r="I118" s="3">
        <v>0</v>
      </c>
      <c r="J118" s="3" t="str">
        <v>East Blue</v>
      </c>
      <c r="K118" s="3" t="str">
        <v>Active</v>
      </c>
      <c r="L118" s="3" t="str">
        <v>Captain</v>
      </c>
      <c r="M118" s="3">
        <v>198</v>
      </c>
      <c r="N118" s="3" t="str">
        <v>Romance Dawn</v>
      </c>
    </row>
    <row r="119" spans="2:14" x14ac:dyDescent="0.3">
      <c r="B119" s="3" t="str">
        <v>Baby 5</v>
      </c>
      <c r="C119" s="3" t="str">
        <v>Female</v>
      </c>
      <c r="D119" s="3" t="str">
        <v>Donquixote Pirates</v>
      </c>
      <c r="E119" s="3" t="str">
        <v>Officer</v>
      </c>
      <c r="F119" s="3">
        <v>100</v>
      </c>
      <c r="G119" s="3">
        <v>24</v>
      </c>
      <c r="H119" s="3" t="str">
        <v>Yes</v>
      </c>
      <c r="I119" s="3">
        <v>0</v>
      </c>
      <c r="J119" s="3" t="str">
        <v>North Blue</v>
      </c>
      <c r="K119" s="3" t="str">
        <v>Active</v>
      </c>
      <c r="L119" s="3" t="str">
        <v>Officer</v>
      </c>
      <c r="M119" s="3">
        <v>181</v>
      </c>
      <c r="N119" s="3" t="str">
        <v>Dressrosa</v>
      </c>
    </row>
    <row r="120" spans="2:14" x14ac:dyDescent="0.3">
      <c r="B120" s="3" t="str">
        <v>Atlas</v>
      </c>
      <c r="C120" s="3" t="str">
        <v>Female</v>
      </c>
      <c r="D120" s="3" t="str">
        <v>Vegapunk / Satellite</v>
      </c>
      <c r="E120" s="3" t="str">
        <v>Scientist</v>
      </c>
      <c r="F120" s="3">
        <v>0</v>
      </c>
      <c r="G120" s="3">
        <v>24</v>
      </c>
      <c r="H120" s="3" t="str">
        <v>No</v>
      </c>
      <c r="I120" s="3">
        <v>0</v>
      </c>
      <c r="J120" s="3" t="str">
        <v>Grand Line</v>
      </c>
      <c r="K120" s="3" t="str">
        <v>Active</v>
      </c>
      <c r="L120" s="3" t="str">
        <v>Scientist</v>
      </c>
      <c r="M120" s="3">
        <v>0</v>
      </c>
      <c r="N120" s="3" t="str">
        <v>Egghead</v>
      </c>
    </row>
    <row r="121" spans="2:14" x14ac:dyDescent="0.3">
      <c r="B121" s="3" t="str">
        <v>Vinsmoke Reiju</v>
      </c>
      <c r="C121" s="3" t="str">
        <v>Female</v>
      </c>
      <c r="D121" s="3" t="str">
        <v>Germa 66</v>
      </c>
      <c r="E121" s="3" t="str">
        <v>Princess</v>
      </c>
      <c r="F121" s="3">
        <v>130</v>
      </c>
      <c r="G121" s="3">
        <v>24</v>
      </c>
      <c r="H121" s="3" t="str">
        <v>No</v>
      </c>
      <c r="I121" s="3">
        <v>0</v>
      </c>
      <c r="J121" s="3" t="str">
        <v>North Blue</v>
      </c>
      <c r="K121" s="3" t="str">
        <v>Active</v>
      </c>
      <c r="L121" s="3" t="str">
        <v>Princess</v>
      </c>
      <c r="M121" s="3">
        <v>173</v>
      </c>
      <c r="N121" s="3" t="str">
        <v>Whole Cake Island</v>
      </c>
    </row>
    <row r="122" spans="2:14" x14ac:dyDescent="0.3">
      <c r="B122" s="3" t="str">
        <v>York</v>
      </c>
      <c r="C122" s="3" t="str">
        <v>Female</v>
      </c>
      <c r="D122" s="3" t="str">
        <v>Vegapunk / Satellite</v>
      </c>
      <c r="E122" s="3" t="str">
        <v>Scientist</v>
      </c>
      <c r="F122" s="3">
        <v>0</v>
      </c>
      <c r="G122" s="3">
        <v>24</v>
      </c>
      <c r="H122" s="3" t="str">
        <v>No</v>
      </c>
      <c r="I122" s="3">
        <v>0</v>
      </c>
      <c r="J122" s="3" t="str">
        <v>Grand Line</v>
      </c>
      <c r="K122" s="3" t="str">
        <v>Active</v>
      </c>
      <c r="L122" s="3" t="str">
        <v>Scientist</v>
      </c>
      <c r="M122" s="3">
        <v>0</v>
      </c>
      <c r="N122" s="3" t="str">
        <v>Egghead</v>
      </c>
    </row>
    <row r="123" spans="2:14" x14ac:dyDescent="0.3">
      <c r="B123" s="3" t="str">
        <v>Shaka</v>
      </c>
      <c r="C123" s="3" t="str">
        <v>Female</v>
      </c>
      <c r="D123" s="3" t="str">
        <v>Vegapunk / Satellite</v>
      </c>
      <c r="E123" s="3" t="str">
        <v>Scientist</v>
      </c>
      <c r="F123" s="3">
        <v>0</v>
      </c>
      <c r="G123" s="3">
        <v>24</v>
      </c>
      <c r="H123" s="3" t="str">
        <v>No</v>
      </c>
      <c r="I123" s="3">
        <v>0</v>
      </c>
      <c r="J123" s="3" t="str">
        <v>Grand Line</v>
      </c>
      <c r="K123" s="3" t="str">
        <v>Deceased</v>
      </c>
      <c r="L123" s="3" t="str">
        <v>Scientist</v>
      </c>
      <c r="M123" s="3">
        <v>0</v>
      </c>
      <c r="N123" s="3" t="str">
        <v>Egghead</v>
      </c>
    </row>
    <row r="124" spans="2:14" x14ac:dyDescent="0.3">
      <c r="B124" s="3" t="str">
        <v>Bartolomeo</v>
      </c>
      <c r="C124" s="3" t="str">
        <v>Male</v>
      </c>
      <c r="D124" s="3" t="str">
        <v>Barto Club</v>
      </c>
      <c r="E124" s="3" t="str">
        <v>Captain</v>
      </c>
      <c r="F124" s="3">
        <v>200</v>
      </c>
      <c r="G124" s="3">
        <v>24</v>
      </c>
      <c r="H124" s="3" t="str">
        <v>Yes</v>
      </c>
      <c r="I124" s="3">
        <v>0</v>
      </c>
      <c r="J124" s="3" t="str">
        <v>East Blue</v>
      </c>
      <c r="K124" s="3" t="str">
        <v>Active</v>
      </c>
      <c r="L124" s="3" t="str">
        <v>Supernova</v>
      </c>
      <c r="M124" s="3">
        <v>220</v>
      </c>
      <c r="N124" s="3" t="str">
        <v>Dressrosa</v>
      </c>
    </row>
    <row r="125" spans="2:14" x14ac:dyDescent="0.3">
      <c r="B125" s="3" t="str">
        <v>Miss Monday</v>
      </c>
      <c r="C125" s="3" t="str">
        <v>Female</v>
      </c>
      <c r="D125" s="3" t="str">
        <v>Baroque Works</v>
      </c>
      <c r="E125" s="3" t="str">
        <v>Officer</v>
      </c>
      <c r="F125" s="3">
        <v>0</v>
      </c>
      <c r="G125" s="3">
        <v>24</v>
      </c>
      <c r="H125" s="3" t="str">
        <v>No</v>
      </c>
      <c r="I125" s="3">
        <v>0</v>
      </c>
      <c r="J125" s="3" t="str">
        <v>West Blue</v>
      </c>
      <c r="K125" s="3" t="str">
        <v>Active</v>
      </c>
      <c r="L125" s="3" t="str">
        <v>Officer</v>
      </c>
      <c r="M125" s="3">
        <v>220</v>
      </c>
      <c r="N125" s="3" t="str">
        <v>Whiskey Peak</v>
      </c>
    </row>
    <row r="126" spans="2:14" x14ac:dyDescent="0.3">
      <c r="B126" s="3" t="str">
        <v>Duval</v>
      </c>
      <c r="C126" s="3" t="str">
        <v>Male</v>
      </c>
      <c r="D126" s="3" t="str">
        <v>Rosy Life Riders</v>
      </c>
      <c r="E126" s="3" t="str">
        <v>Leader</v>
      </c>
      <c r="F126" s="3">
        <v>0</v>
      </c>
      <c r="G126" s="3">
        <v>24</v>
      </c>
      <c r="H126" s="3" t="str">
        <v>No</v>
      </c>
      <c r="I126" s="3">
        <v>0</v>
      </c>
      <c r="J126" s="3" t="str">
        <v>North Blue</v>
      </c>
      <c r="K126" s="3" t="str">
        <v>Active</v>
      </c>
      <c r="L126" s="3" t="str">
        <v>Leader</v>
      </c>
      <c r="M126" s="3">
        <v>470</v>
      </c>
      <c r="N126" s="3" t="str">
        <v>Sabaody Archipelago</v>
      </c>
    </row>
    <row r="127" spans="2:14" x14ac:dyDescent="0.3">
      <c r="B127" s="3" t="str">
        <v>Wyper</v>
      </c>
      <c r="C127" s="3" t="str">
        <v>Male</v>
      </c>
      <c r="D127" s="3" t="str">
        <v>Shandia</v>
      </c>
      <c r="E127" s="3" t="str">
        <v>Warrior</v>
      </c>
      <c r="F127" s="3">
        <v>0</v>
      </c>
      <c r="G127" s="3">
        <v>24</v>
      </c>
      <c r="H127" s="3" t="str">
        <v>No</v>
      </c>
      <c r="I127" s="3">
        <v>0</v>
      </c>
      <c r="J127" s="3" t="str">
        <v>Sky Island</v>
      </c>
      <c r="K127" s="3" t="str">
        <v>Active</v>
      </c>
      <c r="L127" s="3" t="str">
        <v>Warrior</v>
      </c>
      <c r="M127" s="3">
        <v>183</v>
      </c>
      <c r="N127" s="3" t="str">
        <v>Skypiea</v>
      </c>
    </row>
    <row r="128" spans="2:14" x14ac:dyDescent="0.3">
      <c r="B128" s="3" t="str">
        <v>Edison</v>
      </c>
      <c r="C128" s="3" t="str">
        <v>Female</v>
      </c>
      <c r="D128" s="3" t="str">
        <v>Vegapunk / Satellite</v>
      </c>
      <c r="E128" s="3" t="str">
        <v>Scientist</v>
      </c>
      <c r="F128" s="3">
        <v>0</v>
      </c>
      <c r="G128" s="3">
        <v>24</v>
      </c>
      <c r="H128" s="3" t="str">
        <v>No</v>
      </c>
      <c r="I128" s="3">
        <v>0</v>
      </c>
      <c r="J128" s="3" t="str">
        <v>Grand Line</v>
      </c>
      <c r="K128" s="3" t="str">
        <v>Active</v>
      </c>
      <c r="L128" s="3" t="str">
        <v>Scientist</v>
      </c>
      <c r="M128" s="3">
        <v>0</v>
      </c>
      <c r="N128" s="3" t="str">
        <v>Egghead</v>
      </c>
    </row>
    <row r="129" spans="2:14" x14ac:dyDescent="0.3">
      <c r="B129" s="3" t="str">
        <v>Lilith</v>
      </c>
      <c r="C129" s="3" t="str">
        <v>Female</v>
      </c>
      <c r="D129" s="3" t="str">
        <v>Vegapunk / Satellite</v>
      </c>
      <c r="E129" s="3" t="str">
        <v>Scientist</v>
      </c>
      <c r="F129" s="3">
        <v>0</v>
      </c>
      <c r="G129" s="3">
        <v>24</v>
      </c>
      <c r="H129" s="3" t="str">
        <v>Yes</v>
      </c>
      <c r="I129" s="3">
        <v>0</v>
      </c>
      <c r="J129" s="3" t="str">
        <v>Grand Line</v>
      </c>
      <c r="K129" s="3" t="str">
        <v>Active</v>
      </c>
      <c r="L129" s="3" t="str">
        <v>Scientist</v>
      </c>
      <c r="M129" s="3">
        <v>0</v>
      </c>
      <c r="N129" s="3" t="str">
        <v>Egghead</v>
      </c>
    </row>
    <row r="130" spans="2:14" x14ac:dyDescent="0.3">
      <c r="B130" s="3" t="str">
        <v>Jewelry Bonney</v>
      </c>
      <c r="C130" s="3" t="str">
        <v>Female</v>
      </c>
      <c r="D130" s="3" t="str">
        <v>Bonney Pirates</v>
      </c>
      <c r="E130" s="3" t="str">
        <v>Captain</v>
      </c>
      <c r="F130" s="3">
        <v>320</v>
      </c>
      <c r="G130" s="3">
        <v>24</v>
      </c>
      <c r="H130" s="3" t="str">
        <v>Yes</v>
      </c>
      <c r="I130" s="3" t="str">
        <v>Observation</v>
      </c>
      <c r="J130" s="3" t="str">
        <v>South Blue</v>
      </c>
      <c r="K130" s="3" t="str">
        <v>Active</v>
      </c>
      <c r="L130" s="3" t="str">
        <v>Supernova</v>
      </c>
      <c r="M130" s="3">
        <v>174</v>
      </c>
      <c r="N130" s="3" t="str">
        <v>Sabaody Archipelago</v>
      </c>
    </row>
    <row r="131" spans="2:14" x14ac:dyDescent="0.3">
      <c r="B131" s="3" t="str">
        <v>Eustass Kid</v>
      </c>
      <c r="C131" s="3" t="str">
        <v>Male</v>
      </c>
      <c r="D131" s="3" t="str">
        <v>Kid Pirates</v>
      </c>
      <c r="E131" s="3" t="str">
        <v>Captain</v>
      </c>
      <c r="F131" s="3">
        <v>3000</v>
      </c>
      <c r="G131" s="3">
        <v>23</v>
      </c>
      <c r="H131" s="3" t="str">
        <v>Yes</v>
      </c>
      <c r="I131" s="3" t="str">
        <v>Observation + Armament + Conqueror</v>
      </c>
      <c r="J131" s="3" t="str">
        <v>South Blue</v>
      </c>
      <c r="K131" s="3" t="str">
        <v>Active</v>
      </c>
      <c r="L131" s="3" t="str">
        <v>Captain</v>
      </c>
      <c r="M131" s="3">
        <v>205</v>
      </c>
      <c r="N131" s="3" t="str">
        <v>Sabaody Archipelago</v>
      </c>
    </row>
    <row r="132" spans="2:14" x14ac:dyDescent="0.3">
      <c r="B132" s="3" t="str">
        <v>Koala</v>
      </c>
      <c r="C132" s="3" t="str">
        <v>Female</v>
      </c>
      <c r="D132" s="3" t="str">
        <v>Revolutionary Army</v>
      </c>
      <c r="E132" s="3" t="str">
        <v>Officer</v>
      </c>
      <c r="F132" s="3">
        <v>0</v>
      </c>
      <c r="G132" s="3">
        <v>23</v>
      </c>
      <c r="H132" s="3" t="str">
        <v>No</v>
      </c>
      <c r="I132" s="3" t="str">
        <v>Armament + Observation</v>
      </c>
      <c r="J132" s="3" t="str">
        <v>East Blue</v>
      </c>
      <c r="K132" s="3" t="str">
        <v>Active</v>
      </c>
      <c r="L132" s="3" t="str">
        <v>Officer</v>
      </c>
      <c r="M132" s="3">
        <v>160</v>
      </c>
      <c r="N132" s="3" t="str">
        <v>Dressrosa</v>
      </c>
    </row>
    <row r="133" spans="2:14" x14ac:dyDescent="0.3">
      <c r="B133" s="3" t="str">
        <v>Tashigi</v>
      </c>
      <c r="C133" s="3" t="str">
        <v>Female</v>
      </c>
      <c r="D133" s="3" t="str">
        <v>Marines</v>
      </c>
      <c r="E133" s="3" t="str">
        <v>Captain</v>
      </c>
      <c r="F133" s="3">
        <v>30</v>
      </c>
      <c r="G133" s="3">
        <v>23</v>
      </c>
      <c r="H133" s="3" t="str">
        <v>No</v>
      </c>
      <c r="I133" s="3" t="str">
        <v>Observation</v>
      </c>
      <c r="J133" s="3" t="str">
        <v>East Blue</v>
      </c>
      <c r="K133" s="3" t="str">
        <v>Active</v>
      </c>
      <c r="L133" s="3" t="str">
        <v>Captain</v>
      </c>
      <c r="M133" s="3">
        <v>170</v>
      </c>
      <c r="N133" s="3" t="str">
        <v>Loguetown</v>
      </c>
    </row>
    <row r="134" spans="2:14" x14ac:dyDescent="0.3">
      <c r="B134" s="3" t="str">
        <v>Paulie</v>
      </c>
      <c r="C134" s="3" t="str">
        <v>Male</v>
      </c>
      <c r="D134" s="3" t="str">
        <v>Galley-La Company</v>
      </c>
      <c r="E134" s="3" t="str">
        <v>Shipwright</v>
      </c>
      <c r="F134" s="3">
        <v>0</v>
      </c>
      <c r="G134" s="3">
        <v>23</v>
      </c>
      <c r="H134" s="3" t="str">
        <v>No</v>
      </c>
      <c r="I134" s="3">
        <v>0</v>
      </c>
      <c r="J134" s="3" t="str">
        <v>Water 7</v>
      </c>
      <c r="K134" s="3" t="str">
        <v>Active</v>
      </c>
      <c r="L134" s="3" t="str">
        <v>Shipwright</v>
      </c>
      <c r="M134" s="3">
        <v>195</v>
      </c>
      <c r="N134" s="3" t="str">
        <v>Water 7</v>
      </c>
    </row>
    <row r="135" spans="2:14" x14ac:dyDescent="0.3">
      <c r="B135" s="3" t="str">
        <v>Nojiko</v>
      </c>
      <c r="C135" s="3" t="str">
        <v>Female</v>
      </c>
      <c r="D135" s="3" t="str">
        <v>Cocoyasi Village</v>
      </c>
      <c r="E135" s="3" t="str">
        <v>Farmer</v>
      </c>
      <c r="F135" s="3">
        <v>0</v>
      </c>
      <c r="G135" s="3">
        <v>22</v>
      </c>
      <c r="H135" s="3" t="str">
        <v>No</v>
      </c>
      <c r="I135" s="3">
        <v>0</v>
      </c>
      <c r="J135" s="3" t="str">
        <v>East Blue</v>
      </c>
      <c r="K135" s="3" t="str">
        <v>Active</v>
      </c>
      <c r="L135" s="3" t="str">
        <v>Civilian</v>
      </c>
      <c r="M135" s="3">
        <v>170</v>
      </c>
      <c r="N135" s="3" t="str">
        <v>Cocoyasi Village</v>
      </c>
    </row>
    <row r="136" spans="2:14" x14ac:dyDescent="0.3">
      <c r="B136" s="3" t="str">
        <v>Sugar</v>
      </c>
      <c r="C136" s="3" t="str">
        <v>Female</v>
      </c>
      <c r="D136" s="3" t="str">
        <v>Donquixote Pirates</v>
      </c>
      <c r="E136" s="3" t="str">
        <v>Officer</v>
      </c>
      <c r="F136" s="3">
        <v>0</v>
      </c>
      <c r="G136" s="3">
        <v>22</v>
      </c>
      <c r="H136" s="3" t="str">
        <v>Yes</v>
      </c>
      <c r="I136" s="3">
        <v>0</v>
      </c>
      <c r="J136" s="3" t="str">
        <v>North Blue</v>
      </c>
      <c r="K136" s="3" t="str">
        <v>Active</v>
      </c>
      <c r="L136" s="3" t="str">
        <v>Officer</v>
      </c>
      <c r="M136" s="3">
        <v>110</v>
      </c>
      <c r="N136" s="3" t="str">
        <v>Dressrosa</v>
      </c>
    </row>
    <row r="137" spans="2:14" x14ac:dyDescent="0.3">
      <c r="B137" s="3" t="str">
        <v>Ulti</v>
      </c>
      <c r="C137" s="3" t="str">
        <v>Female</v>
      </c>
      <c r="D137" s="3" t="str">
        <v>Beasts Pirates</v>
      </c>
      <c r="E137" s="3" t="str">
        <v>Tobiroppo</v>
      </c>
      <c r="F137" s="3">
        <v>400</v>
      </c>
      <c r="G137" s="3">
        <v>22</v>
      </c>
      <c r="H137" s="3" t="str">
        <v>Yes</v>
      </c>
      <c r="I137" s="3" t="str">
        <v>Armament + Observation</v>
      </c>
      <c r="J137" s="3" t="str">
        <v>Grand Line</v>
      </c>
      <c r="K137" s="3" t="str">
        <v>Active</v>
      </c>
      <c r="L137" s="3" t="str">
        <v>Tobiroppo</v>
      </c>
      <c r="M137" s="3">
        <v>173</v>
      </c>
      <c r="N137" s="3" t="str">
        <v>Wano</v>
      </c>
    </row>
    <row r="138" spans="2:14" x14ac:dyDescent="0.3">
      <c r="B138" s="3" t="str">
        <v>Kikunojo</v>
      </c>
      <c r="C138" s="3" t="str">
        <v>Female</v>
      </c>
      <c r="D138" s="3" t="str">
        <v>Nine Red Scabbards</v>
      </c>
      <c r="E138" s="3" t="str">
        <v>Samurai</v>
      </c>
      <c r="F138" s="3">
        <v>0</v>
      </c>
      <c r="G138" s="3">
        <v>22</v>
      </c>
      <c r="H138" s="3" t="str">
        <v>No</v>
      </c>
      <c r="I138" s="3" t="str">
        <v>Armament + Observation</v>
      </c>
      <c r="J138" s="3" t="str">
        <v>Wano</v>
      </c>
      <c r="K138" s="3" t="str">
        <v>Active</v>
      </c>
      <c r="L138" s="3" t="str">
        <v>Samurai</v>
      </c>
      <c r="M138" s="3">
        <v>287</v>
      </c>
      <c r="N138" s="3" t="str">
        <v>Wano</v>
      </c>
    </row>
    <row r="139" spans="2:14" x14ac:dyDescent="0.3">
      <c r="B139" s="3" t="str">
        <v>Conis</v>
      </c>
      <c r="C139" s="3" t="str">
        <v>Female</v>
      </c>
      <c r="D139" s="3" t="str">
        <v>Skypiea</v>
      </c>
      <c r="E139" s="3" t="str">
        <v>Citizen</v>
      </c>
      <c r="F139" s="3">
        <v>0</v>
      </c>
      <c r="G139" s="3">
        <v>21</v>
      </c>
      <c r="H139" s="3" t="str">
        <v>No</v>
      </c>
      <c r="I139" s="3">
        <v>0</v>
      </c>
      <c r="J139" s="3" t="str">
        <v>Sky Island</v>
      </c>
      <c r="K139" s="3" t="str">
        <v>Active</v>
      </c>
      <c r="L139" s="3" t="str">
        <v>Civilian</v>
      </c>
      <c r="M139" s="3">
        <v>176</v>
      </c>
      <c r="N139" s="3" t="str">
        <v>Skypiea</v>
      </c>
    </row>
    <row r="140" spans="2:14" x14ac:dyDescent="0.3">
      <c r="B140" s="3" t="str">
        <v>Vinsmoke Yonji</v>
      </c>
      <c r="C140" s="3" t="str">
        <v>Male</v>
      </c>
      <c r="D140" s="3" t="str">
        <v>Germa 66</v>
      </c>
      <c r="E140" s="3" t="str">
        <v>Prince</v>
      </c>
      <c r="F140" s="3">
        <v>0</v>
      </c>
      <c r="G140" s="3">
        <v>21</v>
      </c>
      <c r="H140" s="3" t="str">
        <v>No</v>
      </c>
      <c r="I140" s="3">
        <v>0</v>
      </c>
      <c r="J140" s="3" t="str">
        <v>North Blue</v>
      </c>
      <c r="K140" s="3" t="str">
        <v>Active</v>
      </c>
      <c r="L140" s="3" t="str">
        <v>Prince</v>
      </c>
      <c r="M140" s="3">
        <v>194</v>
      </c>
      <c r="N140" s="3" t="str">
        <v>Whole Cake Island</v>
      </c>
    </row>
    <row r="141" spans="2:14" x14ac:dyDescent="0.3">
      <c r="B141" s="3" t="str">
        <v>Sanji</v>
      </c>
      <c r="C141" s="3" t="str">
        <v>Male</v>
      </c>
      <c r="D141" s="3" t="str">
        <v>Straw Hat Pirates</v>
      </c>
      <c r="E141" s="3" t="str">
        <v>Cook</v>
      </c>
      <c r="F141" s="3">
        <v>1032</v>
      </c>
      <c r="G141" s="3">
        <v>21</v>
      </c>
      <c r="H141" s="3" t="str">
        <v>No</v>
      </c>
      <c r="I141" s="3" t="str">
        <v>Observation + Armament</v>
      </c>
      <c r="J141" s="3" t="str">
        <v>North Blue</v>
      </c>
      <c r="K141" s="3" t="str">
        <v>Active</v>
      </c>
      <c r="L141" s="3" t="str">
        <v>Fighter</v>
      </c>
      <c r="M141" s="3">
        <v>180</v>
      </c>
      <c r="N141" s="3" t="str">
        <v>Baratie</v>
      </c>
    </row>
    <row r="142" spans="2:14" x14ac:dyDescent="0.3">
      <c r="B142" s="3" t="str">
        <v>Vinsmoke Ichiji</v>
      </c>
      <c r="C142" s="3" t="str">
        <v>Male</v>
      </c>
      <c r="D142" s="3" t="str">
        <v>Germa 66</v>
      </c>
      <c r="E142" s="3" t="str">
        <v>Prince</v>
      </c>
      <c r="F142" s="3">
        <v>0</v>
      </c>
      <c r="G142" s="3">
        <v>21</v>
      </c>
      <c r="H142" s="3" t="str">
        <v>No</v>
      </c>
      <c r="I142" s="3">
        <v>0</v>
      </c>
      <c r="J142" s="3" t="str">
        <v>North Blue</v>
      </c>
      <c r="K142" s="3" t="str">
        <v>Active</v>
      </c>
      <c r="L142" s="3" t="str">
        <v>Prince</v>
      </c>
      <c r="M142" s="3">
        <v>186</v>
      </c>
      <c r="N142" s="3" t="str">
        <v>Whole Cake Island</v>
      </c>
    </row>
    <row r="143" spans="2:14" x14ac:dyDescent="0.3">
      <c r="B143" s="3" t="str">
        <v>Roronoa Zoro</v>
      </c>
      <c r="C143" s="3" t="str">
        <v>Male</v>
      </c>
      <c r="D143" s="3" t="str">
        <v>Straw Hat Pirates</v>
      </c>
      <c r="E143" s="3" t="str">
        <v>Swordsman</v>
      </c>
      <c r="F143" s="3">
        <v>1111</v>
      </c>
      <c r="G143" s="3">
        <v>21</v>
      </c>
      <c r="H143" s="3" t="str">
        <v>No</v>
      </c>
      <c r="I143" s="3" t="str">
        <v>Observation + Armament</v>
      </c>
      <c r="J143" s="3" t="str">
        <v>East Blue</v>
      </c>
      <c r="K143" s="3" t="str">
        <v>Active</v>
      </c>
      <c r="L143" s="3" t="str">
        <v>Swordsman</v>
      </c>
      <c r="M143" s="3">
        <v>181</v>
      </c>
      <c r="N143" s="3" t="str">
        <v>Romance Dawn</v>
      </c>
    </row>
    <row r="144" spans="2:14" x14ac:dyDescent="0.3">
      <c r="B144" s="3" t="str">
        <v>Vinsmoke Niji</v>
      </c>
      <c r="C144" s="3" t="str">
        <v>Male</v>
      </c>
      <c r="D144" s="3" t="str">
        <v>Germa 66</v>
      </c>
      <c r="E144" s="3" t="str">
        <v>Prince</v>
      </c>
      <c r="F144" s="3">
        <v>0</v>
      </c>
      <c r="G144" s="3">
        <v>21</v>
      </c>
      <c r="H144" s="3" t="str">
        <v>No</v>
      </c>
      <c r="I144" s="3">
        <v>0</v>
      </c>
      <c r="J144" s="3" t="str">
        <v>North Blue</v>
      </c>
      <c r="K144" s="3" t="str">
        <v>Active</v>
      </c>
      <c r="L144" s="3" t="str">
        <v>Prince</v>
      </c>
      <c r="M144" s="3">
        <v>185</v>
      </c>
      <c r="N144" s="3" t="str">
        <v>Whole Cake Island</v>
      </c>
    </row>
    <row r="145" spans="2:14" x14ac:dyDescent="0.3">
      <c r="B145" s="3" t="str">
        <v>Portgas D. Ace</v>
      </c>
      <c r="C145" s="3" t="str">
        <v>Male</v>
      </c>
      <c r="D145" s="3" t="str">
        <v>Whitebeard Pirates</v>
      </c>
      <c r="E145" s="3" t="str">
        <v>Commander</v>
      </c>
      <c r="F145" s="3">
        <v>550</v>
      </c>
      <c r="G145" s="3">
        <v>20</v>
      </c>
      <c r="H145" s="3" t="str">
        <v>Yes</v>
      </c>
      <c r="I145" s="3" t="str">
        <v>Armament + Observation</v>
      </c>
      <c r="J145" s="3" t="str">
        <v>South Blue</v>
      </c>
      <c r="K145" s="3" t="str">
        <v>Deceased</v>
      </c>
      <c r="L145" s="3" t="str">
        <v>Commander</v>
      </c>
      <c r="M145" s="3">
        <v>185</v>
      </c>
      <c r="N145" s="3" t="str">
        <v>Alabasta</v>
      </c>
    </row>
    <row r="146" spans="2:14" x14ac:dyDescent="0.3">
      <c r="B146" s="3" t="str">
        <v>Nami</v>
      </c>
      <c r="C146" s="3" t="str">
        <v>Female</v>
      </c>
      <c r="D146" s="3" t="str">
        <v>Straw Hat Pirates</v>
      </c>
      <c r="E146" s="3" t="str">
        <v>Navigator</v>
      </c>
      <c r="F146" s="3">
        <v>366</v>
      </c>
      <c r="G146" s="3">
        <v>20</v>
      </c>
      <c r="H146" s="3" t="str">
        <v>No</v>
      </c>
      <c r="I146" s="3">
        <v>0</v>
      </c>
      <c r="J146" s="3" t="str">
        <v>East Blue</v>
      </c>
      <c r="K146" s="3" t="str">
        <v>Active</v>
      </c>
      <c r="L146" s="3" t="str">
        <v>Navigator</v>
      </c>
      <c r="M146" s="3">
        <v>170</v>
      </c>
      <c r="N146" s="3" t="str">
        <v>Orange Town</v>
      </c>
    </row>
    <row r="147" spans="2:14" x14ac:dyDescent="0.3">
      <c r="B147" s="3" t="str">
        <v>Monkey D. Luffy</v>
      </c>
      <c r="C147" s="3" t="str">
        <v>Male</v>
      </c>
      <c r="D147" s="3" t="str">
        <v>Straw Hat Pirates</v>
      </c>
      <c r="E147" s="3" t="str">
        <v>Captain</v>
      </c>
      <c r="F147" s="3">
        <v>3000</v>
      </c>
      <c r="G147" s="3">
        <v>19</v>
      </c>
      <c r="H147" s="3" t="str">
        <v>Yes</v>
      </c>
      <c r="I147" s="3" t="str">
        <v>All Three</v>
      </c>
      <c r="J147" s="3" t="str">
        <v>East Blue</v>
      </c>
      <c r="K147" s="3" t="str">
        <v>Active</v>
      </c>
      <c r="L147" s="3" t="str">
        <v>Emperor</v>
      </c>
      <c r="M147" s="3">
        <v>174</v>
      </c>
      <c r="N147" s="3" t="str">
        <v>Romance Dawn</v>
      </c>
    </row>
    <row r="148" spans="2:14" x14ac:dyDescent="0.3">
      <c r="B148" s="3" t="str">
        <v>Usopp</v>
      </c>
      <c r="C148" s="3" t="str">
        <v>Male</v>
      </c>
      <c r="D148" s="3" t="str">
        <v>Straw Hat Pirates</v>
      </c>
      <c r="E148" s="3" t="str">
        <v>Sniper</v>
      </c>
      <c r="F148" s="3">
        <v>500</v>
      </c>
      <c r="G148" s="3">
        <v>19</v>
      </c>
      <c r="H148" s="3" t="str">
        <v>No</v>
      </c>
      <c r="I148" s="3" t="str">
        <v>Observation</v>
      </c>
      <c r="J148" s="3" t="str">
        <v>East Blue</v>
      </c>
      <c r="K148" s="3" t="str">
        <v>Active</v>
      </c>
      <c r="L148" s="3" t="str">
        <v>Sniper</v>
      </c>
      <c r="M148" s="3">
        <v>176</v>
      </c>
      <c r="N148" s="3" t="str">
        <v>Syrup Village</v>
      </c>
    </row>
    <row r="149" spans="2:14" x14ac:dyDescent="0.3">
      <c r="B149" s="3" t="str">
        <v>Kaya</v>
      </c>
      <c r="C149" s="3" t="str">
        <v>Female</v>
      </c>
      <c r="D149" s="3" t="str">
        <v>Syrup Village</v>
      </c>
      <c r="E149" s="3" t="str">
        <v>Doctor</v>
      </c>
      <c r="F149" s="3">
        <v>0</v>
      </c>
      <c r="G149" s="3">
        <v>19</v>
      </c>
      <c r="H149" s="3" t="str">
        <v>No</v>
      </c>
      <c r="I149" s="3">
        <v>0</v>
      </c>
      <c r="J149" s="3" t="str">
        <v>East Blue</v>
      </c>
      <c r="K149" s="3" t="str">
        <v>Active</v>
      </c>
      <c r="L149" s="3" t="str">
        <v>Civilian</v>
      </c>
      <c r="M149" s="3">
        <v>169</v>
      </c>
      <c r="N149" s="3" t="str">
        <v>Syrup Village</v>
      </c>
    </row>
    <row r="150" spans="2:14" x14ac:dyDescent="0.3">
      <c r="B150" s="3" t="str">
        <v>Marguerite</v>
      </c>
      <c r="C150" s="3" t="str">
        <v>Female</v>
      </c>
      <c r="D150" s="3" t="str">
        <v>Kuja Pirates</v>
      </c>
      <c r="E150" s="3" t="str">
        <v>Warrior</v>
      </c>
      <c r="F150" s="3">
        <v>0</v>
      </c>
      <c r="G150" s="3">
        <v>18</v>
      </c>
      <c r="H150" s="3" t="str">
        <v>No</v>
      </c>
      <c r="I150" s="3">
        <v>0</v>
      </c>
      <c r="J150" s="3" t="str">
        <v>Amazon Lily</v>
      </c>
      <c r="K150" s="3" t="str">
        <v>Active</v>
      </c>
      <c r="L150" s="3" t="str">
        <v>Warrior</v>
      </c>
      <c r="M150" s="3">
        <v>178</v>
      </c>
      <c r="N150" s="3" t="str">
        <v>Amazon Lily</v>
      </c>
    </row>
    <row r="151" spans="2:14" x14ac:dyDescent="0.3">
      <c r="B151" s="3" t="str">
        <v>Camie</v>
      </c>
      <c r="C151" s="3" t="str">
        <v>Female</v>
      </c>
      <c r="D151" s="3" t="str">
        <v>Mermaid Cafe</v>
      </c>
      <c r="E151" s="3" t="str">
        <v>Mermaid</v>
      </c>
      <c r="F151" s="3">
        <v>0</v>
      </c>
      <c r="G151" s="3">
        <v>18</v>
      </c>
      <c r="H151" s="3" t="str">
        <v>No</v>
      </c>
      <c r="I151" s="3">
        <v>0</v>
      </c>
      <c r="J151" s="3" t="str">
        <v>Fish-Man Island</v>
      </c>
      <c r="K151" s="3" t="str">
        <v>Active</v>
      </c>
      <c r="L151" s="3" t="str">
        <v>Mermaid</v>
      </c>
      <c r="M151" s="3">
        <v>197</v>
      </c>
      <c r="N151" s="3" t="str">
        <v>Sabaody Archipelago</v>
      </c>
    </row>
    <row r="152" spans="2:14" x14ac:dyDescent="0.3">
      <c r="B152" s="3" t="str">
        <v>Miss Goldenweek</v>
      </c>
      <c r="C152" s="3" t="str">
        <v>Female</v>
      </c>
      <c r="D152" s="3" t="str">
        <v>Baroque Works</v>
      </c>
      <c r="E152" s="3" t="str">
        <v>Officer</v>
      </c>
      <c r="F152" s="3">
        <v>0</v>
      </c>
      <c r="G152" s="3">
        <v>18</v>
      </c>
      <c r="H152" s="3" t="str">
        <v>No</v>
      </c>
      <c r="I152" s="3">
        <v>0</v>
      </c>
      <c r="J152" s="3" t="str">
        <v>East Blue</v>
      </c>
      <c r="K152" s="3" t="str">
        <v>Active</v>
      </c>
      <c r="L152" s="3" t="str">
        <v>Officer</v>
      </c>
      <c r="M152" s="3">
        <v>145</v>
      </c>
      <c r="N152" s="3" t="str">
        <v>Little Garden</v>
      </c>
    </row>
    <row r="153" spans="2:14" x14ac:dyDescent="0.3">
      <c r="B153" s="3" t="str">
        <v>Tony Tony Chopper</v>
      </c>
      <c r="C153" s="3" t="str">
        <v>Male</v>
      </c>
      <c r="D153" s="3" t="str">
        <v>Straw Hat Pirates</v>
      </c>
      <c r="E153" s="3" t="str">
        <v>Doctor</v>
      </c>
      <c r="F153" s="3">
        <v>100</v>
      </c>
      <c r="G153" s="3">
        <v>17</v>
      </c>
      <c r="H153" s="3" t="str">
        <v>Yes</v>
      </c>
      <c r="I153" s="3">
        <v>0</v>
      </c>
      <c r="J153" s="3" t="str">
        <v>Grand Line</v>
      </c>
      <c r="K153" s="3" t="str">
        <v>Active</v>
      </c>
      <c r="L153" s="3" t="str">
        <v>Doctor</v>
      </c>
      <c r="M153" s="3">
        <v>90</v>
      </c>
      <c r="N153" s="3" t="str">
        <v>Drum Island</v>
      </c>
    </row>
    <row r="154" spans="2:14" x14ac:dyDescent="0.3">
      <c r="B154" s="3" t="str">
        <v>Charlotte Pudding</v>
      </c>
      <c r="C154" s="3" t="str">
        <v>Female</v>
      </c>
      <c r="D154" s="3" t="str">
        <v>Big Mom Pirates</v>
      </c>
      <c r="E154" s="3" t="str">
        <v>Minister</v>
      </c>
      <c r="F154" s="3">
        <v>0</v>
      </c>
      <c r="G154" s="3">
        <v>16</v>
      </c>
      <c r="H154" s="3" t="str">
        <v>Yes</v>
      </c>
      <c r="I154" s="3">
        <v>0</v>
      </c>
      <c r="J154" s="3" t="str">
        <v>South Blue</v>
      </c>
      <c r="K154" s="3" t="str">
        <v>Active</v>
      </c>
      <c r="L154" s="3" t="str">
        <v>Minister</v>
      </c>
      <c r="M154" s="3">
        <v>166</v>
      </c>
      <c r="N154" s="3" t="str">
        <v>Whole Cake Island</v>
      </c>
    </row>
    <row r="155" spans="2:14" x14ac:dyDescent="0.3">
      <c r="B155" s="3" t="str">
        <v>Rebecca</v>
      </c>
      <c r="C155" s="3" t="str">
        <v>Female</v>
      </c>
      <c r="D155" s="3" t="str">
        <v>Dressrosa</v>
      </c>
      <c r="E155" s="3" t="str">
        <v>Gladiator</v>
      </c>
      <c r="F155" s="3">
        <v>0</v>
      </c>
      <c r="G155" s="3">
        <v>16</v>
      </c>
      <c r="H155" s="3" t="str">
        <v>No</v>
      </c>
      <c r="I155" s="3" t="str">
        <v>Observation</v>
      </c>
      <c r="J155" s="3" t="str">
        <v>Grand Line</v>
      </c>
      <c r="K155" s="3" t="str">
        <v>Active</v>
      </c>
      <c r="L155" s="3" t="str">
        <v>Gladiator</v>
      </c>
      <c r="M155" s="3">
        <v>171</v>
      </c>
      <c r="N155" s="3" t="str">
        <v>Dressrosa</v>
      </c>
    </row>
    <row r="156" spans="2:14" x14ac:dyDescent="0.3">
      <c r="B156" s="3" t="str">
        <v>Shirahoshi</v>
      </c>
      <c r="C156" s="3" t="str">
        <v>Female</v>
      </c>
      <c r="D156" s="3" t="str">
        <v>Ryugu Kingdom</v>
      </c>
      <c r="E156" s="3" t="str">
        <v>Princess</v>
      </c>
      <c r="F156" s="3">
        <v>0</v>
      </c>
      <c r="G156" s="3">
        <v>16</v>
      </c>
      <c r="H156" s="3" t="str">
        <v>No</v>
      </c>
      <c r="I156" s="3" t="str">
        <v>Observation</v>
      </c>
      <c r="J156" s="3" t="str">
        <v>Fish-Man Island</v>
      </c>
      <c r="K156" s="3" t="str">
        <v>Active</v>
      </c>
      <c r="L156" s="3" t="str">
        <v>Princess</v>
      </c>
      <c r="M156" s="3">
        <v>1187</v>
      </c>
      <c r="N156" s="3" t="str">
        <v>Fish-Man Island</v>
      </c>
    </row>
    <row r="157" spans="2:14" x14ac:dyDescent="0.3">
      <c r="B157" s="3" t="str">
        <v>Carrot</v>
      </c>
      <c r="C157" s="3" t="str">
        <v>Female</v>
      </c>
      <c r="D157" s="3" t="str">
        <v>Mink Tribe</v>
      </c>
      <c r="E157" s="3" t="str">
        <v>Warrior</v>
      </c>
      <c r="F157" s="3">
        <v>200</v>
      </c>
      <c r="G157" s="3">
        <v>15</v>
      </c>
      <c r="H157" s="3" t="str">
        <v>No</v>
      </c>
      <c r="I157" s="3" t="str">
        <v>Electro</v>
      </c>
      <c r="J157" s="3" t="str">
        <v>Zou</v>
      </c>
      <c r="K157" s="3" t="str">
        <v>Active</v>
      </c>
      <c r="L157" s="3" t="str">
        <v>Warrior</v>
      </c>
      <c r="M157" s="3">
        <v>161</v>
      </c>
      <c r="N157" s="3" t="str">
        <v>Zou</v>
      </c>
    </row>
    <row r="158" spans="2:14" x14ac:dyDescent="0.3">
      <c r="B158" s="3" t="str">
        <v>Charlotte Flampe</v>
      </c>
      <c r="C158" s="3" t="str">
        <v>Female</v>
      </c>
      <c r="D158" s="3" t="str">
        <v>Big Mom Pirates</v>
      </c>
      <c r="E158" s="3" t="str">
        <v>Officer</v>
      </c>
      <c r="F158" s="3">
        <v>0</v>
      </c>
      <c r="G158" s="3">
        <v>15</v>
      </c>
      <c r="H158" s="3" t="str">
        <v>No</v>
      </c>
      <c r="I158" s="3">
        <v>0</v>
      </c>
      <c r="J158" s="3" t="str">
        <v>South Blue</v>
      </c>
      <c r="K158" s="3" t="str">
        <v>Active</v>
      </c>
      <c r="L158" s="3" t="str">
        <v>Officer</v>
      </c>
      <c r="M158" s="3">
        <v>170</v>
      </c>
      <c r="N158" s="3" t="str">
        <v>Whole Cake Island</v>
      </c>
    </row>
    <row r="159" spans="2:14" x14ac:dyDescent="0.3">
      <c r="B159" s="3" t="str">
        <v>Kuina</v>
      </c>
      <c r="C159" s="3" t="str">
        <v>Female</v>
      </c>
      <c r="D159" s="3" t="str">
        <v>Shimotsuki Village</v>
      </c>
      <c r="E159" s="3" t="str">
        <v>Swordswoman</v>
      </c>
      <c r="F159" s="3">
        <v>0</v>
      </c>
      <c r="G159" s="3">
        <v>11</v>
      </c>
      <c r="H159" s="3" t="str">
        <v>No</v>
      </c>
      <c r="I159" s="3">
        <v>0</v>
      </c>
      <c r="J159" s="3" t="str">
        <v>East Blue</v>
      </c>
      <c r="K159" s="3" t="str">
        <v>Deceased</v>
      </c>
      <c r="L159" s="3" t="str">
        <v>Swordswoman</v>
      </c>
      <c r="M159" s="3">
        <v>152</v>
      </c>
      <c r="N159" s="3" t="str">
        <v>Romance Dawn flashback</v>
      </c>
    </row>
    <row r="160" spans="2:14" x14ac:dyDescent="0.3">
      <c r="B160" s="3" t="str">
        <v>Aisa</v>
      </c>
      <c r="C160" s="3" t="str">
        <v>Female</v>
      </c>
      <c r="D160" s="3" t="str">
        <v>Shandia</v>
      </c>
      <c r="E160" s="3" t="str">
        <v>Shandia Warrior</v>
      </c>
      <c r="F160" s="3">
        <v>0</v>
      </c>
      <c r="G160" s="3">
        <v>10</v>
      </c>
      <c r="H160" s="3" t="str">
        <v>No</v>
      </c>
      <c r="I160" s="3" t="str">
        <v>Observation</v>
      </c>
      <c r="J160" s="3" t="str">
        <v>Sky Island</v>
      </c>
      <c r="K160" s="3" t="str">
        <v>Active</v>
      </c>
      <c r="L160" s="3" t="str">
        <v>Warrior</v>
      </c>
      <c r="M160" s="3">
        <v>140</v>
      </c>
      <c r="N160" s="3" t="str">
        <v>Skypiea</v>
      </c>
    </row>
    <row r="161" spans="2:14" x14ac:dyDescent="0.3">
      <c r="B161" s="3" t="str">
        <v>Calgara's descendant Aisa</v>
      </c>
      <c r="C161" s="3" t="str">
        <v>Female</v>
      </c>
      <c r="D161" s="3" t="str">
        <v>Shandia</v>
      </c>
      <c r="E161" s="3" t="str">
        <v>Shandia Warrior</v>
      </c>
      <c r="F161" s="3">
        <v>0</v>
      </c>
      <c r="G161" s="3">
        <v>10</v>
      </c>
      <c r="H161" s="3" t="str">
        <v>No</v>
      </c>
      <c r="I161" s="3" t="str">
        <v>Observation</v>
      </c>
      <c r="J161" s="3" t="str">
        <v>Sky Island</v>
      </c>
      <c r="K161" s="3" t="str">
        <v>Active</v>
      </c>
      <c r="L161" s="3" t="str">
        <v>Warrior</v>
      </c>
      <c r="M161" s="3">
        <v>140</v>
      </c>
      <c r="N161" s="3" t="str">
        <v>Skypiea</v>
      </c>
    </row>
    <row r="162" spans="2:14" x14ac:dyDescent="0.3">
      <c r="B162" s="3" t="str">
        <v>Chimney</v>
      </c>
      <c r="C162" s="3" t="str">
        <v>Female</v>
      </c>
      <c r="D162" s="3" t="str">
        <v>Water 7</v>
      </c>
      <c r="E162" s="3" t="str">
        <v>Child</v>
      </c>
      <c r="F162" s="3">
        <v>0</v>
      </c>
      <c r="G162" s="3">
        <v>8</v>
      </c>
      <c r="H162" s="3" t="str">
        <v>No</v>
      </c>
      <c r="I162" s="3">
        <v>0</v>
      </c>
      <c r="J162" s="3" t="str">
        <v>Water 7</v>
      </c>
      <c r="K162" s="3" t="str">
        <v>Active</v>
      </c>
      <c r="L162" s="3" t="str">
        <v>Civilian</v>
      </c>
      <c r="M162" s="3">
        <v>115</v>
      </c>
      <c r="N162" s="3" t="str">
        <v>Water 7</v>
      </c>
    </row>
    <row r="163" spans="2:14" x14ac:dyDescent="0.3">
      <c r="B163" s="3" t="str">
        <v>Momonosuke</v>
      </c>
      <c r="C163" s="3" t="str">
        <v>Male</v>
      </c>
      <c r="D163" s="3" t="str">
        <v>Kozuki Family</v>
      </c>
      <c r="E163" s="3" t="str">
        <v>Shogun</v>
      </c>
      <c r="F163" s="3">
        <v>1000</v>
      </c>
      <c r="G163" s="3">
        <v>8</v>
      </c>
      <c r="H163" s="3" t="str">
        <v>Yes</v>
      </c>
      <c r="I163" s="3" t="str">
        <v>Observation + Armament + Conqueror</v>
      </c>
      <c r="J163" s="3" t="str">
        <v>Wano</v>
      </c>
      <c r="K163" s="3" t="str">
        <v>Active</v>
      </c>
      <c r="L163" s="3" t="str">
        <v>Shogun</v>
      </c>
      <c r="M163" s="3">
        <v>110</v>
      </c>
      <c r="N163" s="3" t="str">
        <v>Punk Hazard</v>
      </c>
    </row>
    <row r="164" spans="2:14" x14ac:dyDescent="0.3">
      <c r="B164" s="3" t="str">
        <v>Carmen</v>
      </c>
      <c r="C164" s="3" t="str">
        <v>Female</v>
      </c>
      <c r="D164" s="3" t="str">
        <v>East Blue</v>
      </c>
      <c r="E164" s="3" t="str">
        <v>Chef</v>
      </c>
      <c r="F164" s="3">
        <v>0</v>
      </c>
      <c r="G164" s="3">
        <v>0</v>
      </c>
      <c r="H164" s="3" t="str">
        <v>No</v>
      </c>
      <c r="I164" s="3">
        <v>0</v>
      </c>
      <c r="J164" s="3" t="str">
        <v>East Blue</v>
      </c>
      <c r="K164" s="3" t="str">
        <v>Active</v>
      </c>
      <c r="L164" s="3" t="str">
        <v>Chef</v>
      </c>
      <c r="M164" s="3">
        <v>0</v>
      </c>
      <c r="N164" s="3" t="str">
        <v>Loguetown</v>
      </c>
    </row>
    <row r="165" spans="2:14" x14ac:dyDescent="0.3">
      <c r="B165" s="3" t="str">
        <v>Daisy</v>
      </c>
      <c r="C165" s="3" t="str">
        <v>Female</v>
      </c>
      <c r="D165" s="3" t="str">
        <v>Kuja Pirates</v>
      </c>
      <c r="E165" s="3" t="str">
        <v>Warrior</v>
      </c>
      <c r="F165" s="3">
        <v>0</v>
      </c>
      <c r="G165" s="3">
        <v>0</v>
      </c>
      <c r="H165" s="3" t="str">
        <v>No</v>
      </c>
      <c r="I165" s="3">
        <v>0</v>
      </c>
      <c r="J165" s="3" t="str">
        <v>Amazon Lily</v>
      </c>
      <c r="K165" s="3" t="str">
        <v>Active</v>
      </c>
      <c r="L165" s="3" t="str">
        <v>Warrior</v>
      </c>
      <c r="M165" s="3">
        <v>0</v>
      </c>
      <c r="N165" s="3" t="str">
        <v>Amazon Lily</v>
      </c>
    </row>
    <row r="166" spans="2:14" x14ac:dyDescent="0.3">
      <c r="B166" s="3" t="str">
        <v>Sadi</v>
      </c>
      <c r="C166" s="3" t="str">
        <v>Female</v>
      </c>
      <c r="D166" s="3" t="str">
        <v>Impel Down</v>
      </c>
      <c r="E166" s="3" t="str">
        <v>Chief Guard</v>
      </c>
      <c r="F166" s="3">
        <v>0</v>
      </c>
      <c r="G166" s="3">
        <v>0</v>
      </c>
      <c r="H166" s="3" t="str">
        <v>No</v>
      </c>
      <c r="I166" s="3">
        <v>0</v>
      </c>
      <c r="J166" s="3" t="str">
        <v>Grand Line</v>
      </c>
      <c r="K166" s="3" t="str">
        <v>Active</v>
      </c>
      <c r="L166" s="3" t="str">
        <v>Chief Guard</v>
      </c>
      <c r="M166" s="3">
        <v>183</v>
      </c>
      <c r="N166" s="3" t="str">
        <v>Impel Down</v>
      </c>
    </row>
    <row r="167" spans="2:14" x14ac:dyDescent="0.3">
      <c r="B167" s="3" t="str">
        <v>Binz</v>
      </c>
      <c r="C167" s="3" t="str">
        <v>Female</v>
      </c>
      <c r="D167" s="3" t="str">
        <v>Neo Marines</v>
      </c>
      <c r="E167" s="3" t="str">
        <v>Officer</v>
      </c>
      <c r="F167" s="3">
        <v>0</v>
      </c>
      <c r="G167" s="3">
        <v>0</v>
      </c>
      <c r="H167" s="3" t="str">
        <v>Yes</v>
      </c>
      <c r="I167" s="3">
        <v>0</v>
      </c>
      <c r="J167" s="3" t="str">
        <v>South Blue</v>
      </c>
      <c r="K167" s="3" t="str">
        <v>Active</v>
      </c>
      <c r="L167" s="3" t="str">
        <v>Officer</v>
      </c>
      <c r="M167" s="3">
        <v>0</v>
      </c>
      <c r="N167" s="3" t="str">
        <v>Film Z</v>
      </c>
    </row>
    <row r="168" spans="2:14" x14ac:dyDescent="0.3">
      <c r="B168" s="3" t="str">
        <v>Kujaku</v>
      </c>
      <c r="C168" s="3" t="str">
        <v>Female</v>
      </c>
      <c r="D168" s="3" t="str">
        <v>Marines</v>
      </c>
      <c r="E168" s="3" t="str">
        <v>Rear Admiral</v>
      </c>
      <c r="F168" s="3">
        <v>0</v>
      </c>
      <c r="G168" s="3">
        <v>0</v>
      </c>
      <c r="H168" s="3" t="str">
        <v>Yes</v>
      </c>
      <c r="I168" s="3">
        <v>0</v>
      </c>
      <c r="J168" s="3" t="str">
        <v>Grand Line</v>
      </c>
      <c r="K168" s="3" t="str">
        <v>Active</v>
      </c>
      <c r="L168" s="3" t="str">
        <v>Rear Admiral</v>
      </c>
      <c r="M168" s="3">
        <v>180</v>
      </c>
      <c r="N168" s="3" t="str">
        <v>Egghead</v>
      </c>
    </row>
    <row r="169" spans="2:14" x14ac:dyDescent="0.3">
      <c r="B169" s="3" t="str">
        <v>Kurozumi Higurashi</v>
      </c>
      <c r="C169" s="3" t="str">
        <v>Female</v>
      </c>
      <c r="D169" s="3" t="str">
        <v>Kurozumi Family</v>
      </c>
      <c r="E169" s="3" t="str">
        <v>Witch</v>
      </c>
      <c r="F169" s="3">
        <v>0</v>
      </c>
      <c r="G169" s="3">
        <v>0</v>
      </c>
      <c r="H169" s="3" t="str">
        <v>Yes</v>
      </c>
      <c r="I169" s="3">
        <v>0</v>
      </c>
      <c r="J169" s="3" t="str">
        <v>Wano</v>
      </c>
      <c r="K169" s="3" t="str">
        <v>Deceased</v>
      </c>
      <c r="L169" s="3" t="str">
        <v>Witch</v>
      </c>
      <c r="M169" s="3">
        <v>180</v>
      </c>
      <c r="N169" s="3" t="str">
        <v>Wano flashback</v>
      </c>
    </row>
    <row r="170" spans="2:14" x14ac:dyDescent="0.3">
      <c r="B170" s="3" t="str">
        <v>Bonney's mother Ginny</v>
      </c>
      <c r="C170" s="3" t="str">
        <v>Female</v>
      </c>
      <c r="D170" s="3" t="str">
        <v>Revolutionary Army</v>
      </c>
      <c r="E170" s="3" t="str">
        <v>Officer</v>
      </c>
      <c r="F170" s="3">
        <v>0</v>
      </c>
      <c r="G170" s="3">
        <v>0</v>
      </c>
      <c r="H170" s="3" t="str">
        <v>No</v>
      </c>
      <c r="I170" s="3">
        <v>0</v>
      </c>
      <c r="J170" s="3" t="str">
        <v>South Blue</v>
      </c>
      <c r="K170" s="3" t="str">
        <v>Deceased</v>
      </c>
      <c r="L170" s="3" t="str">
        <v>Officer</v>
      </c>
      <c r="M170" s="3">
        <v>0</v>
      </c>
      <c r="N170" s="3" t="str">
        <v>God Valley flashback</v>
      </c>
    </row>
    <row r="171" spans="2:14" x14ac:dyDescent="0.3">
      <c r="B171" s="3" t="str">
        <v>Zephyr's wife</v>
      </c>
      <c r="C171" s="3" t="str">
        <v>Female</v>
      </c>
      <c r="D171" s="3" t="str">
        <v>Marine family</v>
      </c>
      <c r="E171" s="3" t="str">
        <v>Civilian</v>
      </c>
      <c r="F171" s="3">
        <v>0</v>
      </c>
      <c r="G171" s="3">
        <v>0</v>
      </c>
      <c r="H171" s="3" t="str">
        <v>No</v>
      </c>
      <c r="I171" s="3">
        <v>0</v>
      </c>
      <c r="J171" s="3" t="str">
        <v>Grand Line</v>
      </c>
      <c r="K171" s="3" t="str">
        <v>Deceased</v>
      </c>
      <c r="L171" s="3" t="str">
        <v>Civilian</v>
      </c>
      <c r="M171" s="3">
        <v>0</v>
      </c>
      <c r="N171" s="3" t="str">
        <v>Film Z</v>
      </c>
    </row>
    <row r="172" spans="2:14" x14ac:dyDescent="0.3">
      <c r="B172" s="3" t="str">
        <v>Kozuki Toki</v>
      </c>
      <c r="C172" s="3" t="str">
        <v>Female</v>
      </c>
      <c r="D172" s="3" t="str">
        <v>Kozuki Family</v>
      </c>
      <c r="E172" s="3" t="str">
        <v>Former Princess</v>
      </c>
      <c r="F172" s="3">
        <v>0</v>
      </c>
      <c r="G172" s="3">
        <v>0</v>
      </c>
      <c r="H172" s="3" t="str">
        <v>Yes</v>
      </c>
      <c r="I172" s="3">
        <v>0</v>
      </c>
      <c r="J172" s="3" t="str">
        <v>Grand Line</v>
      </c>
      <c r="K172" s="3" t="str">
        <v>Deceased</v>
      </c>
      <c r="L172" s="3" t="str">
        <v>Princess</v>
      </c>
      <c r="M172" s="3">
        <v>190</v>
      </c>
      <c r="N172" s="3" t="str">
        <v>Wano flashback</v>
      </c>
    </row>
    <row r="173" spans="2:14" x14ac:dyDescent="0.3">
      <c r="B173" s="3" t="str">
        <v>Saldeath</v>
      </c>
      <c r="C173" s="3" t="str">
        <v>Female</v>
      </c>
      <c r="D173" s="3" t="str">
        <v>Impel Down</v>
      </c>
      <c r="E173" s="3" t="str">
        <v>Blue Gorillas Captain</v>
      </c>
      <c r="F173" s="3">
        <v>0</v>
      </c>
      <c r="G173" s="3">
        <v>0</v>
      </c>
      <c r="H173" s="3" t="str">
        <v>No</v>
      </c>
      <c r="I173" s="3">
        <v>0</v>
      </c>
      <c r="J173" s="3" t="str">
        <v>Grand Line</v>
      </c>
      <c r="K173" s="3" t="str">
        <v>Active</v>
      </c>
      <c r="L173" s="3" t="str">
        <v>Captain</v>
      </c>
      <c r="M173" s="3">
        <v>0</v>
      </c>
      <c r="N173" s="3" t="str">
        <v>Impel Down</v>
      </c>
    </row>
    <row r="174" spans="2:14" x14ac:dyDescent="0.3">
      <c r="B174" s="3" t="str">
        <v>Aphelandra</v>
      </c>
      <c r="C174" s="3" t="str">
        <v>Female</v>
      </c>
      <c r="D174" s="3" t="str">
        <v>Kuja Pirates</v>
      </c>
      <c r="E174" s="3" t="str">
        <v>Warrior</v>
      </c>
      <c r="F174" s="3">
        <v>0</v>
      </c>
      <c r="G174" s="3">
        <v>0</v>
      </c>
      <c r="H174" s="3" t="str">
        <v>No</v>
      </c>
      <c r="I174" s="3">
        <v>0</v>
      </c>
      <c r="J174" s="3" t="str">
        <v>Amazon Lily</v>
      </c>
      <c r="K174" s="3" t="str">
        <v>Active</v>
      </c>
      <c r="L174" s="3" t="str">
        <v>Warrior</v>
      </c>
      <c r="M174" s="3">
        <v>0</v>
      </c>
      <c r="N174" s="3" t="str">
        <v>Amazon Lily</v>
      </c>
    </row>
    <row r="175" spans="2:14" x14ac:dyDescent="0.3">
      <c r="B175" s="3" t="str">
        <v>Makino</v>
      </c>
      <c r="C175" s="3" t="str">
        <v>Female</v>
      </c>
      <c r="D175" s="3" t="str">
        <v>Foosha Village</v>
      </c>
      <c r="E175" s="3" t="str">
        <v>Bartender</v>
      </c>
      <c r="F175" s="3">
        <v>0</v>
      </c>
      <c r="G175" s="3">
        <v>0</v>
      </c>
      <c r="H175" s="3" t="str">
        <v>No</v>
      </c>
      <c r="I175" s="3">
        <v>0</v>
      </c>
      <c r="J175" s="3" t="str">
        <v>East Blue</v>
      </c>
      <c r="K175" s="3" t="str">
        <v>Active</v>
      </c>
      <c r="L175" s="3" t="str">
        <v>Bartender</v>
      </c>
      <c r="M175" s="3">
        <v>166</v>
      </c>
      <c r="N175" s="3" t="str">
        <v>Romance Dawn</v>
      </c>
    </row>
    <row r="176" spans="2:14" x14ac:dyDescent="0.3">
      <c r="B176" s="3" t="str">
        <v>Sweet Pea</v>
      </c>
      <c r="C176" s="3" t="str">
        <v>Female</v>
      </c>
      <c r="D176" s="3" t="str">
        <v>Kuja Pirates</v>
      </c>
      <c r="E176" s="3" t="str">
        <v>Warrior</v>
      </c>
      <c r="F176" s="3">
        <v>0</v>
      </c>
      <c r="G176" s="3">
        <v>0</v>
      </c>
      <c r="H176" s="3" t="str">
        <v>No</v>
      </c>
      <c r="I176" s="3">
        <v>0</v>
      </c>
      <c r="J176" s="3" t="str">
        <v>Amazon Lily</v>
      </c>
      <c r="K176" s="3" t="str">
        <v>Active</v>
      </c>
      <c r="L176" s="3" t="str">
        <v>Warrior</v>
      </c>
      <c r="M176" s="3">
        <v>0</v>
      </c>
      <c r="N176" s="3" t="str">
        <v>Amazon Lily</v>
      </c>
    </row>
    <row r="177" spans="2:14" x14ac:dyDescent="0.3">
      <c r="B177" s="3" t="str">
        <v>Merry</v>
      </c>
      <c r="C177" s="3" t="str">
        <v>Female</v>
      </c>
      <c r="D177" s="3" t="str">
        <v>Syrup Village</v>
      </c>
      <c r="E177" s="3" t="str">
        <v>Butler</v>
      </c>
      <c r="F177" s="3">
        <v>0</v>
      </c>
      <c r="G177" s="3">
        <v>0</v>
      </c>
      <c r="H177" s="3" t="str">
        <v>No</v>
      </c>
      <c r="I177" s="3">
        <v>0</v>
      </c>
      <c r="J177" s="3" t="str">
        <v>East Blue</v>
      </c>
      <c r="K177" s="3" t="str">
        <v>Active</v>
      </c>
      <c r="L177" s="3" t="str">
        <v>Butler</v>
      </c>
      <c r="M177" s="3">
        <v>0</v>
      </c>
      <c r="N177" s="3" t="str">
        <v>Syrup Village</v>
      </c>
    </row>
    <row r="178" spans="2:14" x14ac:dyDescent="0.3">
      <c r="B178" s="3" t="str">
        <v>Shyarly</v>
      </c>
      <c r="C178" s="3" t="str">
        <v>Female</v>
      </c>
      <c r="D178" s="3" t="str">
        <v>Fish-Man Island</v>
      </c>
      <c r="E178" s="3" t="str">
        <v>Fortune Teller</v>
      </c>
      <c r="F178" s="3">
        <v>0</v>
      </c>
      <c r="G178" s="3">
        <v>0</v>
      </c>
      <c r="H178" s="3" t="str">
        <v>Yes</v>
      </c>
      <c r="I178" s="3" t="str">
        <v>Observation</v>
      </c>
      <c r="J178" s="3" t="str">
        <v>Fish-Man Island</v>
      </c>
      <c r="K178" s="3" t="str">
        <v>Active</v>
      </c>
      <c r="L178" s="3" t="str">
        <v>Fortune Teller</v>
      </c>
      <c r="M178" s="3">
        <v>0</v>
      </c>
      <c r="N178" s="3" t="str">
        <v>Fish-Man Island</v>
      </c>
    </row>
    <row r="179" spans="2:14" x14ac:dyDescent="0.3">
      <c r="B179" s="3" t="str">
        <v>Cocoa</v>
      </c>
      <c r="C179" s="3" t="str">
        <v>Female</v>
      </c>
      <c r="D179" s="3" t="str">
        <v>Water 7</v>
      </c>
      <c r="E179" s="3" t="str">
        <v>Shipwright</v>
      </c>
      <c r="F179" s="3">
        <v>0</v>
      </c>
      <c r="G179" s="3">
        <v>0</v>
      </c>
      <c r="H179" s="3" t="str">
        <v>No</v>
      </c>
      <c r="I179" s="3">
        <v>0</v>
      </c>
      <c r="J179" s="3" t="str">
        <v>Water 7</v>
      </c>
      <c r="K179" s="3" t="str">
        <v>Active</v>
      </c>
      <c r="L179" s="3" t="str">
        <v>Shipwright</v>
      </c>
      <c r="M179" s="3">
        <v>0</v>
      </c>
      <c r="N179" s="3" t="str">
        <v>Water 7</v>
      </c>
    </row>
    <row r="180" spans="2:14" x14ac:dyDescent="0.3">
      <c r="B180" s="3" t="str">
        <v>Domino</v>
      </c>
      <c r="C180" s="3" t="str">
        <v>Female</v>
      </c>
      <c r="D180" s="3" t="str">
        <v>Impel Down</v>
      </c>
      <c r="E180" s="3" t="str">
        <v>Chief Guard</v>
      </c>
      <c r="F180" s="3">
        <v>0</v>
      </c>
      <c r="G180" s="3">
        <v>0</v>
      </c>
      <c r="H180" s="3" t="str">
        <v>No</v>
      </c>
      <c r="I180" s="3">
        <v>0</v>
      </c>
      <c r="J180" s="3" t="str">
        <v>Grand Line</v>
      </c>
      <c r="K180" s="3" t="str">
        <v>Active</v>
      </c>
      <c r="L180" s="3" t="str">
        <v>Chief Guard</v>
      </c>
      <c r="M180" s="3">
        <v>178</v>
      </c>
      <c r="N180" s="3" t="str">
        <v>Impel Down</v>
      </c>
    </row>
    <row r="181" spans="2:14" x14ac:dyDescent="0.3">
      <c r="B181" s="3" t="str">
        <v>Boa Hancock's mother</v>
      </c>
      <c r="C181" s="3" t="str">
        <v>Female</v>
      </c>
      <c r="D181" s="3" t="str">
        <v>Kuja</v>
      </c>
      <c r="E181" s="3" t="str">
        <v>Civilian</v>
      </c>
      <c r="F181" s="3">
        <v>0</v>
      </c>
      <c r="G181" s="3">
        <v>0</v>
      </c>
      <c r="H181" s="3" t="str">
        <v>No</v>
      </c>
      <c r="I181" s="3">
        <v>0</v>
      </c>
      <c r="J181" s="3" t="str">
        <v>Amazon Lily</v>
      </c>
      <c r="K181" s="3" t="str">
        <v>Unknown</v>
      </c>
      <c r="L181" s="3" t="str">
        <v>Civilian</v>
      </c>
      <c r="M181" s="3">
        <v>0</v>
      </c>
      <c r="N181" s="3" t="str">
        <v>Amazon Lily flashback</v>
      </c>
    </row>
    <row r="182" spans="2:14" x14ac:dyDescent="0.3">
      <c r="B182" s="3" t="str">
        <v>Baccarat</v>
      </c>
      <c r="C182" s="3" t="str">
        <v>Female</v>
      </c>
      <c r="D182" s="3" t="str">
        <v>Gran Tesoro</v>
      </c>
      <c r="E182" s="3" t="str">
        <v>Hostess</v>
      </c>
      <c r="F182" s="3">
        <v>0</v>
      </c>
      <c r="G182" s="3">
        <v>0</v>
      </c>
      <c r="H182" s="3" t="str">
        <v>Yes</v>
      </c>
      <c r="I182" s="3">
        <v>0</v>
      </c>
      <c r="J182" s="3" t="str">
        <v>Grand Line</v>
      </c>
      <c r="K182" s="3" t="str">
        <v>Active</v>
      </c>
      <c r="L182" s="3" t="str">
        <v>Officer</v>
      </c>
      <c r="M182" s="3">
        <v>0</v>
      </c>
      <c r="N182" s="3" t="str">
        <v>Film Gold</v>
      </c>
    </row>
    <row r="183" spans="2:14" x14ac:dyDescent="0.3">
      <c r="B183" s="3" t="str">
        <v>S-Snake</v>
      </c>
      <c r="C183" s="3" t="str">
        <v>Female</v>
      </c>
      <c r="D183" s="3" t="str">
        <v>Seraphim</v>
      </c>
      <c r="E183" s="3" t="str">
        <v>Seraphim</v>
      </c>
      <c r="F183" s="3">
        <v>0</v>
      </c>
      <c r="G183" s="3">
        <v>0</v>
      </c>
      <c r="H183" s="3" t="str">
        <v>Yes</v>
      </c>
      <c r="I183" s="3">
        <v>0</v>
      </c>
      <c r="J183" s="3" t="str">
        <v>Grand Line</v>
      </c>
      <c r="K183" s="3" t="str">
        <v>Active</v>
      </c>
      <c r="L183" s="3" t="str">
        <v>Seraphim</v>
      </c>
      <c r="M183" s="3">
        <v>0</v>
      </c>
      <c r="N183" s="3" t="str">
        <v>Egghead</v>
      </c>
    </row>
    <row r="184" spans="2:14" x14ac:dyDescent="0.3">
      <c r="B184" s="3" t="str">
        <v>Rebecca's mother Scarlett</v>
      </c>
      <c r="C184" s="3" t="str">
        <v>Female</v>
      </c>
      <c r="D184" s="3" t="str">
        <v>Dressrosa</v>
      </c>
      <c r="E184" s="3" t="str">
        <v>Princess</v>
      </c>
      <c r="F184" s="3">
        <v>0</v>
      </c>
      <c r="G184" s="3">
        <v>0</v>
      </c>
      <c r="H184" s="3" t="str">
        <v>No</v>
      </c>
      <c r="I184" s="3">
        <v>0</v>
      </c>
      <c r="J184" s="3" t="str">
        <v>Grand Line</v>
      </c>
      <c r="K184" s="3" t="str">
        <v>Deceased</v>
      </c>
      <c r="L184" s="3" t="str">
        <v>Princess</v>
      </c>
      <c r="M184" s="3">
        <v>0</v>
      </c>
      <c r="N184" s="3" t="str">
        <v>Dressrosa flashback</v>
      </c>
    </row>
    <row r="185" spans="2:14" x14ac:dyDescent="0.3">
      <c r="B185" s="3" t="str">
        <v>Hannyabal's colleague Domino</v>
      </c>
      <c r="C185" s="3" t="str">
        <v>Female</v>
      </c>
      <c r="D185" s="3" t="str">
        <v>Impel Down</v>
      </c>
      <c r="E185" s="3" t="str">
        <v>Guard</v>
      </c>
      <c r="F185" s="3">
        <v>0</v>
      </c>
      <c r="G185" s="3">
        <v>0</v>
      </c>
      <c r="H185" s="3" t="str">
        <v>No</v>
      </c>
      <c r="I185" s="3">
        <v>0</v>
      </c>
      <c r="J185" s="3" t="str">
        <v>Grand Line</v>
      </c>
      <c r="K185" s="3" t="str">
        <v>Active</v>
      </c>
      <c r="L185" s="3" t="str">
        <v>Guard</v>
      </c>
      <c r="M185" s="3">
        <v>178</v>
      </c>
      <c r="N185" s="3" t="str">
        <v>Impel Down</v>
      </c>
    </row>
    <row r="186" spans="2:14" x14ac:dyDescent="0.3">
      <c r="B186" s="3" t="str">
        <v>Ain</v>
      </c>
      <c r="C186" s="3" t="str">
        <v>Female</v>
      </c>
      <c r="D186" s="3" t="str">
        <v>Neo Marines</v>
      </c>
      <c r="E186" s="3" t="str">
        <v>Vice Admiral</v>
      </c>
      <c r="F186" s="3">
        <v>0</v>
      </c>
      <c r="G186" s="3">
        <v>0</v>
      </c>
      <c r="H186" s="3" t="str">
        <v>Yes</v>
      </c>
      <c r="I186" s="3">
        <v>0</v>
      </c>
      <c r="J186" s="3" t="str">
        <v>South Blue</v>
      </c>
      <c r="K186" s="3" t="str">
        <v>Active</v>
      </c>
      <c r="L186" s="3" t="str">
        <v>Vice Admiral</v>
      </c>
      <c r="M186" s="3">
        <v>174</v>
      </c>
      <c r="N186" s="3" t="str">
        <v>Film Z</v>
      </c>
    </row>
    <row r="187" spans="2:14" x14ac:dyDescent="0.3">
      <c r="B187" s="3" t="str">
        <v>Madame Shyarly</v>
      </c>
      <c r="C187" s="3" t="str">
        <v>Female</v>
      </c>
      <c r="D187" s="3" t="str">
        <v>Fish-Man Island</v>
      </c>
      <c r="E187" s="3" t="str">
        <v>Fortune Teller</v>
      </c>
      <c r="F187" s="3">
        <v>0</v>
      </c>
      <c r="G187" s="3">
        <v>0</v>
      </c>
      <c r="H187" s="3" t="str">
        <v>Yes</v>
      </c>
      <c r="I187" s="3" t="str">
        <v>Observation</v>
      </c>
      <c r="J187" s="3" t="str">
        <v>Fish-Man Island</v>
      </c>
      <c r="K187" s="3" t="str">
        <v>Active</v>
      </c>
      <c r="L187" s="3" t="str">
        <v>Fortune Teller</v>
      </c>
      <c r="M187" s="3">
        <v>0</v>
      </c>
      <c r="N187" s="3" t="str">
        <v>Fish-Man Island</v>
      </c>
    </row>
    <row r="188" spans="2:14" x14ac:dyDescent="0.3">
      <c r="B188" s="3" t="str">
        <v>Carina</v>
      </c>
      <c r="C188" s="3" t="str">
        <v>Female</v>
      </c>
      <c r="D188" s="3" t="str">
        <v>Gran Tesoro</v>
      </c>
      <c r="E188" s="3" t="str">
        <v>Thief</v>
      </c>
      <c r="F188" s="3">
        <v>0</v>
      </c>
      <c r="G188" s="3">
        <v>0</v>
      </c>
      <c r="H188" s="3" t="str">
        <v>No</v>
      </c>
      <c r="I188" s="3">
        <v>0</v>
      </c>
      <c r="J188" s="3" t="str">
        <v>Grand Line</v>
      </c>
      <c r="K188" s="3" t="str">
        <v>Active</v>
      </c>
      <c r="L188" s="3" t="str">
        <v>Thief</v>
      </c>
      <c r="M188" s="3">
        <v>0</v>
      </c>
      <c r="N188" s="3" t="str">
        <v>Film Gold</v>
      </c>
    </row>
    <row r="189" spans="2:14" x14ac:dyDescent="0.3">
      <c r="B189" s="3" t="str">
        <v>Viola's sister Scarlet</v>
      </c>
      <c r="C189" s="3" t="str">
        <v>Female</v>
      </c>
      <c r="D189" s="3" t="str">
        <v>Dressrosa</v>
      </c>
      <c r="E189" s="3" t="str">
        <v>Princess</v>
      </c>
      <c r="F189" s="3">
        <v>0</v>
      </c>
      <c r="G189" s="3">
        <v>0</v>
      </c>
      <c r="H189" s="3" t="str">
        <v>No</v>
      </c>
      <c r="I189" s="3">
        <v>0</v>
      </c>
      <c r="J189" s="3" t="str">
        <v>Grand Line</v>
      </c>
      <c r="K189" s="3" t="str">
        <v>Deceased</v>
      </c>
      <c r="L189" s="3" t="str">
        <v>Princess</v>
      </c>
      <c r="M189" s="3">
        <v>0</v>
      </c>
      <c r="N189" s="3" t="str">
        <v>Dressrosa flashback</v>
      </c>
    </row>
    <row r="190" spans="2:14" x14ac:dyDescent="0.3">
      <c r="B190" s="3" t="str">
        <v>Vista</v>
      </c>
      <c r="C190" s="3" t="str">
        <v>Male</v>
      </c>
      <c r="D190" s="3" t="str">
        <v>Whitebeard Pirates</v>
      </c>
      <c r="E190" s="3" t="str">
        <v>Commander</v>
      </c>
      <c r="F190" s="3">
        <v>0</v>
      </c>
      <c r="G190" s="3">
        <v>0</v>
      </c>
      <c r="H190" s="3" t="str">
        <v>No</v>
      </c>
      <c r="I190" s="3" t="str">
        <v>Armament</v>
      </c>
      <c r="J190" s="3" t="str">
        <v>Grand Line</v>
      </c>
      <c r="K190" s="3" t="str">
        <v>Active</v>
      </c>
      <c r="L190" s="3" t="str">
        <v>Commander</v>
      </c>
      <c r="M190" s="3">
        <v>328</v>
      </c>
      <c r="N190" s="3" t="str">
        <v>Marineford</v>
      </c>
    </row>
    <row r="191" spans="2:14" x14ac:dyDescent="0.3">
      <c r="B191" s="3" t="str">
        <v>Jozu</v>
      </c>
      <c r="C191" s="3" t="str">
        <v>Male</v>
      </c>
      <c r="D191" s="3" t="str">
        <v>Whitebeard Pirates</v>
      </c>
      <c r="E191" s="3" t="str">
        <v>Commander</v>
      </c>
      <c r="F191" s="3">
        <v>0</v>
      </c>
      <c r="G191" s="3">
        <v>0</v>
      </c>
      <c r="H191" s="3" t="str">
        <v>Yes</v>
      </c>
      <c r="I191" s="3" t="str">
        <v>Armament</v>
      </c>
      <c r="J191" s="3" t="str">
        <v>Grand Line</v>
      </c>
      <c r="K191" s="3" t="str">
        <v>Active</v>
      </c>
      <c r="L191" s="3" t="str">
        <v>Commander</v>
      </c>
      <c r="M191" s="3">
        <v>503</v>
      </c>
      <c r="N191" s="3" t="str">
        <v>Marineford</v>
      </c>
    </row>
    <row r="192" spans="2:14" x14ac:dyDescent="0.3">
      <c r="B192" s="3" t="str">
        <v>Silvers Rayleigh</v>
      </c>
      <c r="C192" s="3" t="str">
        <v>Male</v>
      </c>
      <c r="D192" s="3" t="str">
        <v>Roger Pirates</v>
      </c>
      <c r="E192" s="3" t="str">
        <v>Vice Captain</v>
      </c>
      <c r="F192" s="3">
        <v>0</v>
      </c>
      <c r="G192" s="3">
        <v>0</v>
      </c>
      <c r="H192" s="3" t="str">
        <v>No</v>
      </c>
      <c r="I192" s="3" t="str">
        <v>All Three</v>
      </c>
      <c r="J192" s="3" t="str">
        <v>Grand Line</v>
      </c>
      <c r="K192" s="3" t="str">
        <v>Active</v>
      </c>
      <c r="L192" s="3" t="str">
        <v>Dark King</v>
      </c>
      <c r="M192" s="3">
        <v>188</v>
      </c>
      <c r="N192" s="3" t="str">
        <v>Sabaody Archipelago</v>
      </c>
    </row>
    <row r="193" spans="2:14" x14ac:dyDescent="0.3">
      <c r="B193" s="3" t="str">
        <v>Kawamatsu</v>
      </c>
      <c r="C193" s="3" t="str">
        <v>Male</v>
      </c>
      <c r="D193" s="3" t="str">
        <v>Nine Red Scabbards</v>
      </c>
      <c r="E193" s="3" t="str">
        <v>Samurai</v>
      </c>
      <c r="F193" s="3">
        <v>0</v>
      </c>
      <c r="G193" s="3">
        <v>0</v>
      </c>
      <c r="H193" s="3" t="str">
        <v>No</v>
      </c>
      <c r="I193" s="3" t="str">
        <v>Armament + Observation</v>
      </c>
      <c r="J193" s="3" t="str">
        <v>Wano</v>
      </c>
      <c r="K193" s="3" t="str">
        <v>Active</v>
      </c>
      <c r="L193" s="3" t="str">
        <v>Samurai</v>
      </c>
      <c r="M193" s="3">
        <v>271</v>
      </c>
      <c r="N193" s="3" t="str">
        <v>Wano</v>
      </c>
    </row>
    <row r="194" spans="2:14" x14ac:dyDescent="0.3">
      <c r="B194" s="3" t="str">
        <v>Scopper Gaban</v>
      </c>
      <c r="C194" s="3" t="str">
        <v>Male</v>
      </c>
      <c r="D194" s="3" t="str">
        <v>Roger Pirates</v>
      </c>
      <c r="E194" s="3" t="str">
        <v>Officer</v>
      </c>
      <c r="F194" s="3">
        <v>0</v>
      </c>
      <c r="G194" s="3">
        <v>0</v>
      </c>
      <c r="H194" s="3" t="str">
        <v>No</v>
      </c>
      <c r="I194" s="3">
        <v>0</v>
      </c>
      <c r="J194" s="3" t="str">
        <v>Grand Line</v>
      </c>
      <c r="K194" s="3" t="str">
        <v>Unknown</v>
      </c>
      <c r="L194" s="3" t="str">
        <v>Officer</v>
      </c>
      <c r="M194" s="3">
        <v>0</v>
      </c>
      <c r="N194" s="3" t="str">
        <v>Oden's flashback</v>
      </c>
    </row>
    <row r="195" spans="2:14" x14ac:dyDescent="0.3">
      <c r="B195" s="3" t="str">
        <v>Raizo</v>
      </c>
      <c r="C195" s="3" t="str">
        <v>Male</v>
      </c>
      <c r="D195" s="3" t="str">
        <v>Nine Red Scabbards</v>
      </c>
      <c r="E195" s="3" t="str">
        <v>Ninja</v>
      </c>
      <c r="F195" s="3">
        <v>0</v>
      </c>
      <c r="G195" s="3">
        <v>0</v>
      </c>
      <c r="H195" s="3" t="str">
        <v>No</v>
      </c>
      <c r="I195" s="3">
        <v>0</v>
      </c>
      <c r="J195" s="3" t="str">
        <v>Wano</v>
      </c>
      <c r="K195" s="3" t="str">
        <v>Active</v>
      </c>
      <c r="L195" s="3" t="str">
        <v>Ninja</v>
      </c>
      <c r="M195" s="3">
        <v>311</v>
      </c>
      <c r="N195" s="3" t="str">
        <v>Zou</v>
      </c>
    </row>
    <row r="196" spans="2:14" x14ac:dyDescent="0.3">
      <c r="B196" s="3" t="str">
        <v>Inuarashi</v>
      </c>
      <c r="C196" s="3" t="str">
        <v>Male</v>
      </c>
      <c r="D196" s="3" t="str">
        <v>Mink Tribe</v>
      </c>
      <c r="E196" s="3" t="str">
        <v>Duke</v>
      </c>
      <c r="F196" s="3">
        <v>0</v>
      </c>
      <c r="G196" s="3">
        <v>0</v>
      </c>
      <c r="H196" s="3" t="str">
        <v>No</v>
      </c>
      <c r="I196" s="3" t="str">
        <v>Armament + Observation</v>
      </c>
      <c r="J196" s="3" t="str">
        <v>Zou</v>
      </c>
      <c r="K196" s="3" t="str">
        <v>Active</v>
      </c>
      <c r="L196" s="3" t="str">
        <v>Duke</v>
      </c>
      <c r="M196" s="3">
        <v>511</v>
      </c>
      <c r="N196" s="3" t="str">
        <v>Zou</v>
      </c>
    </row>
    <row r="197" spans="2:14" x14ac:dyDescent="0.3">
      <c r="B197" s="3" t="str">
        <v>Nekomamushi</v>
      </c>
      <c r="C197" s="3" t="str">
        <v>Male</v>
      </c>
      <c r="D197" s="3" t="str">
        <v>Mink Tribe</v>
      </c>
      <c r="E197" s="3" t="str">
        <v>Duke</v>
      </c>
      <c r="F197" s="3">
        <v>0</v>
      </c>
      <c r="G197" s="3">
        <v>0</v>
      </c>
      <c r="H197" s="3" t="str">
        <v>No</v>
      </c>
      <c r="I197" s="3" t="str">
        <v>Armament + Observation</v>
      </c>
      <c r="J197" s="3" t="str">
        <v>Zou</v>
      </c>
      <c r="K197" s="3" t="str">
        <v>Active</v>
      </c>
      <c r="L197" s="3" t="str">
        <v>Duke</v>
      </c>
      <c r="M197" s="3">
        <v>522</v>
      </c>
      <c r="N197" s="3" t="str">
        <v>Zou</v>
      </c>
    </row>
    <row r="198" spans="2:14" x14ac:dyDescent="0.3">
      <c r="B198" s="3" t="str">
        <v>Ashura Doji</v>
      </c>
      <c r="C198" s="3" t="str">
        <v>Male</v>
      </c>
      <c r="D198" s="3" t="str">
        <v>Nine Red Scabbards</v>
      </c>
      <c r="E198" s="3" t="str">
        <v>Samurai</v>
      </c>
      <c r="F198" s="3">
        <v>0</v>
      </c>
      <c r="G198" s="3">
        <v>0</v>
      </c>
      <c r="H198" s="3" t="str">
        <v>No</v>
      </c>
      <c r="I198" s="3" t="str">
        <v>Armament + Observation</v>
      </c>
      <c r="J198" s="3" t="str">
        <v>Wano</v>
      </c>
      <c r="K198" s="3" t="str">
        <v>Active</v>
      </c>
      <c r="L198" s="3" t="str">
        <v>Samurai</v>
      </c>
      <c r="M198" s="3">
        <v>544</v>
      </c>
      <c r="N198" s="3" t="str">
        <v>Wano</v>
      </c>
    </row>
    <row r="199" spans="2:14" x14ac:dyDescent="0.3">
      <c r="B199" s="3" t="str">
        <v>Denjiro</v>
      </c>
      <c r="C199" s="3" t="str">
        <v>Male</v>
      </c>
      <c r="D199" s="3" t="str">
        <v>Nine Red Scabbards</v>
      </c>
      <c r="E199" s="3" t="str">
        <v>Samurai</v>
      </c>
      <c r="F199" s="3">
        <v>0</v>
      </c>
      <c r="G199" s="3">
        <v>0</v>
      </c>
      <c r="H199" s="3" t="str">
        <v>No</v>
      </c>
      <c r="I199" s="3" t="str">
        <v>Armament + Observation</v>
      </c>
      <c r="J199" s="3" t="str">
        <v>Wano</v>
      </c>
      <c r="K199" s="3" t="str">
        <v>Active</v>
      </c>
      <c r="L199" s="3" t="str">
        <v>Samurai</v>
      </c>
      <c r="M199" s="3">
        <v>306</v>
      </c>
      <c r="N199" s="3" t="str">
        <v>Wano</v>
      </c>
    </row>
    <row r="200" spans="2:14" x14ac:dyDescent="0.3">
      <c r="B200" s="3" t="str">
        <v>Tom</v>
      </c>
      <c r="C200" s="3" t="str">
        <v>Male</v>
      </c>
      <c r="D200" s="3" t="str">
        <v>Tom's Workers</v>
      </c>
      <c r="E200" s="3" t="str">
        <v>Shipwright</v>
      </c>
      <c r="F200" s="3">
        <v>0</v>
      </c>
      <c r="G200" s="3">
        <v>0</v>
      </c>
      <c r="H200" s="3" t="str">
        <v>No</v>
      </c>
      <c r="I200" s="3">
        <v>0</v>
      </c>
      <c r="J200" s="3" t="str">
        <v>Water 7</v>
      </c>
      <c r="K200" s="3" t="str">
        <v>Deceased</v>
      </c>
      <c r="L200" s="3" t="str">
        <v>Shipwright</v>
      </c>
      <c r="M200" s="3">
        <v>296</v>
      </c>
      <c r="N200" s="3" t="str">
        <v>Water 7 flashback</v>
      </c>
    </row>
    <row r="201" spans="2:14" x14ac:dyDescent="0.3">
      <c r="B201" s="3" t="str">
        <v>Gol D. Roger</v>
      </c>
      <c r="C201" s="3" t="str">
        <v>Male</v>
      </c>
      <c r="D201" s="3" t="str">
        <v>Roger Pirates</v>
      </c>
      <c r="E201" s="3" t="str">
        <v>Captain</v>
      </c>
      <c r="F201" s="3">
        <v>5564</v>
      </c>
      <c r="G201" s="3">
        <v>0</v>
      </c>
      <c r="H201" s="3" t="str">
        <v>No</v>
      </c>
      <c r="I201" s="3" t="str">
        <v>All Three</v>
      </c>
      <c r="J201" s="3" t="str">
        <v>Grand Line</v>
      </c>
      <c r="K201" s="3" t="str">
        <v>Deceased</v>
      </c>
      <c r="L201" s="3" t="str">
        <v>Pirate King</v>
      </c>
      <c r="M201" s="3">
        <v>274</v>
      </c>
      <c r="N201" s="3" t="str">
        <v>Roger's Execution</v>
      </c>
    </row>
  </sheetData>
  <mergeCells count="1">
    <mergeCell ref="B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BCC2-3758-4404-AA2E-B8107C6395C9}">
  <dimension ref="B2:B81"/>
  <sheetViews>
    <sheetView workbookViewId="0">
      <selection activeCell="D4" sqref="D4"/>
    </sheetView>
  </sheetViews>
  <sheetFormatPr defaultRowHeight="14.4" x14ac:dyDescent="0.3"/>
  <cols>
    <col min="2" max="2" width="36" bestFit="1" customWidth="1"/>
  </cols>
  <sheetData>
    <row r="2" spans="2:2" x14ac:dyDescent="0.3">
      <c r="B2" s="13" t="s">
        <v>424</v>
      </c>
    </row>
    <row r="5" spans="2:2" x14ac:dyDescent="0.3">
      <c r="B5" s="2" t="str" cm="1">
        <f t="array" ref="B5:B81">_xlfn.VSTACK(_xlfn.UNIQUE(Dataset!C1:C196))</f>
        <v>Affiliation</v>
      </c>
    </row>
    <row r="6" spans="2:2" x14ac:dyDescent="0.3">
      <c r="B6" s="3" t="str">
        <v>Cocoyasi Village</v>
      </c>
    </row>
    <row r="7" spans="2:2" x14ac:dyDescent="0.3">
      <c r="B7" s="3" t="str">
        <v>Whitebeard Pirates</v>
      </c>
    </row>
    <row r="8" spans="2:2" x14ac:dyDescent="0.3">
      <c r="B8" s="3" t="str">
        <v>East Blue</v>
      </c>
    </row>
    <row r="9" spans="2:2" x14ac:dyDescent="0.3">
      <c r="B9" s="3" t="str">
        <v>Big Mom Pirates</v>
      </c>
    </row>
    <row r="10" spans="2:2" x14ac:dyDescent="0.3">
      <c r="B10" s="3" t="str">
        <v>Revolutionary Army / World Government</v>
      </c>
    </row>
    <row r="11" spans="2:2" x14ac:dyDescent="0.3">
      <c r="B11" s="3" t="str">
        <v>Mountain Bandits</v>
      </c>
    </row>
    <row r="12" spans="2:2" x14ac:dyDescent="0.3">
      <c r="B12" s="3" t="str">
        <v>Marines</v>
      </c>
    </row>
    <row r="13" spans="2:2" x14ac:dyDescent="0.3">
      <c r="B13" s="3" t="str">
        <v>Kuja Pirates</v>
      </c>
    </row>
    <row r="14" spans="2:2" x14ac:dyDescent="0.3">
      <c r="B14" s="3" t="str">
        <v>Roger Pirates</v>
      </c>
    </row>
    <row r="15" spans="2:2" x14ac:dyDescent="0.3">
      <c r="B15" s="3" t="str">
        <v>Krieg Pirates</v>
      </c>
    </row>
    <row r="16" spans="2:2" x14ac:dyDescent="0.3">
      <c r="B16" s="3" t="str">
        <v>Kid Pirates</v>
      </c>
    </row>
    <row r="17" spans="2:2" x14ac:dyDescent="0.3">
      <c r="B17" s="3" t="str">
        <v>Impel Down</v>
      </c>
    </row>
    <row r="18" spans="2:2" x14ac:dyDescent="0.3">
      <c r="B18" s="3" t="str">
        <v>Donquixote Pirates</v>
      </c>
    </row>
    <row r="19" spans="2:2" x14ac:dyDescent="0.3">
      <c r="B19" s="3" t="str">
        <v>Baroque Works / Cross Guild</v>
      </c>
    </row>
    <row r="20" spans="2:2" x14ac:dyDescent="0.3">
      <c r="B20" s="3" t="str">
        <v>CP0</v>
      </c>
    </row>
    <row r="21" spans="2:2" x14ac:dyDescent="0.3">
      <c r="B21" s="3" t="str">
        <v>Baroque Works</v>
      </c>
    </row>
    <row r="22" spans="2:2" x14ac:dyDescent="0.3">
      <c r="B22" s="3" t="str">
        <v>Revolutionary Army</v>
      </c>
    </row>
    <row r="23" spans="2:2" x14ac:dyDescent="0.3">
      <c r="B23" s="3" t="str">
        <v>Blackbeard Pirates</v>
      </c>
    </row>
    <row r="24" spans="2:2" x14ac:dyDescent="0.3">
      <c r="B24" s="3" t="str">
        <v>Skypiea</v>
      </c>
    </row>
    <row r="25" spans="2:2" x14ac:dyDescent="0.3">
      <c r="B25" s="3" t="str">
        <v>World Government</v>
      </c>
    </row>
    <row r="26" spans="2:2" x14ac:dyDescent="0.3">
      <c r="B26" s="3" t="str">
        <v>Yonta Maria Grand Fleet</v>
      </c>
    </row>
    <row r="27" spans="2:2" x14ac:dyDescent="0.3">
      <c r="B27" s="3" t="str">
        <v>Neo Marines</v>
      </c>
    </row>
    <row r="28" spans="2:2" x14ac:dyDescent="0.3">
      <c r="B28" s="3" t="str">
        <v>Thriller Bark Pirates</v>
      </c>
    </row>
    <row r="29" spans="2:2" x14ac:dyDescent="0.3">
      <c r="B29" s="3" t="str">
        <v>Germa 66</v>
      </c>
    </row>
    <row r="30" spans="2:2" x14ac:dyDescent="0.3">
      <c r="B30" s="3" t="str">
        <v>Beasts Pirates</v>
      </c>
    </row>
    <row r="31" spans="2:2" x14ac:dyDescent="0.3">
      <c r="B31" s="3" t="str">
        <v>Straw Hat Pirates</v>
      </c>
    </row>
    <row r="32" spans="2:2" x14ac:dyDescent="0.3">
      <c r="B32" s="3" t="str">
        <v>New Fish-Man Pirates</v>
      </c>
    </row>
    <row r="33" spans="2:2" x14ac:dyDescent="0.3">
      <c r="B33" s="3" t="str">
        <v>Nine Red Scabbards</v>
      </c>
    </row>
    <row r="34" spans="2:2" x14ac:dyDescent="0.3">
      <c r="B34" s="3" t="str">
        <v>Vegapunk / Satellite</v>
      </c>
    </row>
    <row r="35" spans="2:2" x14ac:dyDescent="0.3">
      <c r="B35" s="3" t="str">
        <v>Sun Pirates</v>
      </c>
    </row>
    <row r="36" spans="2:2" x14ac:dyDescent="0.3">
      <c r="B36" s="3" t="str">
        <v>Kurozumi Family</v>
      </c>
    </row>
    <row r="37" spans="2:2" x14ac:dyDescent="0.3">
      <c r="B37" s="3" t="str">
        <v>Arlong Pirates</v>
      </c>
    </row>
    <row r="38" spans="2:2" x14ac:dyDescent="0.3">
      <c r="B38" s="3" t="str">
        <v>Hawkins Pirates</v>
      </c>
    </row>
    <row r="39" spans="2:2" x14ac:dyDescent="0.3">
      <c r="B39" s="3" t="str">
        <v>Happo Navy</v>
      </c>
    </row>
    <row r="40" spans="2:2" x14ac:dyDescent="0.3">
      <c r="B40" s="3" t="str">
        <v>CP9</v>
      </c>
    </row>
    <row r="41" spans="2:2" x14ac:dyDescent="0.3">
      <c r="B41" s="3" t="str">
        <v>Marine family</v>
      </c>
    </row>
    <row r="42" spans="2:2" x14ac:dyDescent="0.3">
      <c r="B42" s="3" t="str">
        <v>God's Army</v>
      </c>
    </row>
    <row r="43" spans="2:2" x14ac:dyDescent="0.3">
      <c r="B43" s="3" t="str">
        <v>Flying Pirates</v>
      </c>
    </row>
    <row r="44" spans="2:2" x14ac:dyDescent="0.3">
      <c r="B44" s="3" t="str">
        <v>Mink Tribe</v>
      </c>
    </row>
    <row r="45" spans="2:2" x14ac:dyDescent="0.3">
      <c r="B45" s="3" t="str">
        <v>Kozuki Family</v>
      </c>
    </row>
    <row r="46" spans="2:2" x14ac:dyDescent="0.3">
      <c r="B46" s="3" t="str">
        <v>Beautiful Pirates</v>
      </c>
    </row>
    <row r="47" spans="2:2" x14ac:dyDescent="0.3">
      <c r="B47" s="3" t="str">
        <v>Foosha Village</v>
      </c>
    </row>
    <row r="48" spans="2:2" x14ac:dyDescent="0.3">
      <c r="B48" s="3" t="str">
        <v>Shandia</v>
      </c>
    </row>
    <row r="49" spans="2:2" x14ac:dyDescent="0.3">
      <c r="B49" s="3" t="str">
        <v>On Air Pirates</v>
      </c>
    </row>
    <row r="50" spans="2:2" x14ac:dyDescent="0.3">
      <c r="B50" s="3" t="str">
        <v>Syrup Village</v>
      </c>
    </row>
    <row r="51" spans="2:2" x14ac:dyDescent="0.3">
      <c r="B51" s="3" t="str">
        <v>Water 7</v>
      </c>
    </row>
    <row r="52" spans="2:2" x14ac:dyDescent="0.3">
      <c r="B52" s="3" t="str">
        <v>Marines / Cocoyasi Village</v>
      </c>
    </row>
    <row r="53" spans="2:2" x14ac:dyDescent="0.3">
      <c r="B53" s="3" t="str">
        <v>Shimotsuki Village</v>
      </c>
    </row>
    <row r="54" spans="2:2" x14ac:dyDescent="0.3">
      <c r="B54" s="3" t="str">
        <v>Red Hair Pirates</v>
      </c>
    </row>
    <row r="55" spans="2:2" x14ac:dyDescent="0.3">
      <c r="B55" s="3" t="str">
        <v>CP0 / World Government</v>
      </c>
    </row>
    <row r="56" spans="2:2" x14ac:dyDescent="0.3">
      <c r="B56" s="3" t="str">
        <v>Fish-Man Island</v>
      </c>
    </row>
    <row r="57" spans="2:2" x14ac:dyDescent="0.3">
      <c r="B57" s="3" t="str">
        <v>New Giant Warrior Pirates</v>
      </c>
    </row>
    <row r="58" spans="2:2" x14ac:dyDescent="0.3">
      <c r="B58" s="3" t="str">
        <v>Barto Club</v>
      </c>
    </row>
    <row r="59" spans="2:2" x14ac:dyDescent="0.3">
      <c r="B59" s="3" t="str">
        <v>Mermaid Cafe</v>
      </c>
    </row>
    <row r="60" spans="2:2" x14ac:dyDescent="0.3">
      <c r="B60" s="3" t="str">
        <v>Foxy Pirates</v>
      </c>
    </row>
    <row r="61" spans="2:2" x14ac:dyDescent="0.3">
      <c r="B61" s="3" t="str">
        <v>Dressrosa</v>
      </c>
    </row>
    <row r="62" spans="2:2" x14ac:dyDescent="0.3">
      <c r="B62" s="3" t="str">
        <v>Black Cat Pirates</v>
      </c>
    </row>
    <row r="63" spans="2:2" x14ac:dyDescent="0.3">
      <c r="B63" s="3" t="str">
        <v>Fallen Monk Pirates</v>
      </c>
    </row>
    <row r="64" spans="2:2" x14ac:dyDescent="0.3">
      <c r="B64" s="3" t="str">
        <v>Rosy Life Riders</v>
      </c>
    </row>
    <row r="65" spans="2:2" x14ac:dyDescent="0.3">
      <c r="B65" s="3" t="str">
        <v>Marines / Donquixote Family</v>
      </c>
    </row>
    <row r="66" spans="2:2" x14ac:dyDescent="0.3">
      <c r="B66" s="3" t="str">
        <v>Kuja</v>
      </c>
    </row>
    <row r="67" spans="2:2" x14ac:dyDescent="0.3">
      <c r="B67" s="3" t="str">
        <v>Gran Tesoro</v>
      </c>
    </row>
    <row r="68" spans="2:2" x14ac:dyDescent="0.3">
      <c r="B68" s="3" t="str">
        <v>Ryugu Kingdom</v>
      </c>
    </row>
    <row r="69" spans="2:2" x14ac:dyDescent="0.3">
      <c r="B69" s="3" t="str">
        <v>Saruyama Alliance</v>
      </c>
    </row>
    <row r="70" spans="2:2" x14ac:dyDescent="0.3">
      <c r="B70" s="3" t="str">
        <v>Drake Pirates / Marines</v>
      </c>
    </row>
    <row r="71" spans="2:2" x14ac:dyDescent="0.3">
      <c r="B71" s="3" t="str">
        <v>Seraphim</v>
      </c>
    </row>
    <row r="72" spans="2:2" x14ac:dyDescent="0.3">
      <c r="B72" s="3" t="str">
        <v>Tom's Workers</v>
      </c>
    </row>
    <row r="73" spans="2:2" x14ac:dyDescent="0.3">
      <c r="B73" s="3" t="str">
        <v>Heart Pirates</v>
      </c>
    </row>
    <row r="74" spans="2:2" x14ac:dyDescent="0.3">
      <c r="B74" s="3" t="str">
        <v>Alvida Pirates</v>
      </c>
    </row>
    <row r="75" spans="2:2" x14ac:dyDescent="0.3">
      <c r="B75" s="3" t="str">
        <v>Marines / Donquixote Pirates</v>
      </c>
    </row>
    <row r="76" spans="2:2" x14ac:dyDescent="0.3">
      <c r="B76" s="3" t="str">
        <v>Galley-La Company</v>
      </c>
    </row>
    <row r="77" spans="2:2" x14ac:dyDescent="0.3">
      <c r="B77" s="3" t="str">
        <v>Former Marines / Blackbeard Pirates</v>
      </c>
    </row>
    <row r="78" spans="2:2" x14ac:dyDescent="0.3">
      <c r="B78" s="3" t="str">
        <v>Fire Tank Pirates</v>
      </c>
    </row>
    <row r="79" spans="2:2" x14ac:dyDescent="0.3">
      <c r="B79" s="3" t="str">
        <v>Former Punk Hazard Scientist</v>
      </c>
    </row>
    <row r="80" spans="2:2" x14ac:dyDescent="0.3">
      <c r="B80" s="3" t="str">
        <v>Bonney Pirates</v>
      </c>
    </row>
    <row r="81" spans="2:2" x14ac:dyDescent="0.3">
      <c r="B81" s="3" t="str">
        <v>Kozuki Family / Whitebeard / Roger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D65A-848C-4A34-8F04-6E05A3E697DE}">
  <dimension ref="B2:G198"/>
  <sheetViews>
    <sheetView workbookViewId="0">
      <selection activeCell="D5" sqref="D5"/>
    </sheetView>
  </sheetViews>
  <sheetFormatPr defaultRowHeight="14.4" x14ac:dyDescent="0.3"/>
  <sheetData>
    <row r="2" spans="2:7" x14ac:dyDescent="0.3">
      <c r="C2" s="12" t="s">
        <v>427</v>
      </c>
      <c r="D2" s="12"/>
      <c r="E2" s="12"/>
      <c r="F2" s="12"/>
      <c r="G2" s="12"/>
    </row>
    <row r="4" spans="2:7" x14ac:dyDescent="0.3">
      <c r="B4" cm="1">
        <f t="array" ref="B4:C198">_xlfn.HSTACK(_xlfn.SEQUENCE(ROWS(Dataset!A2:A196)),Dataset!A2:A196)</f>
        <v>1</v>
      </c>
      <c r="C4" t="str">
        <v>Nojiko</v>
      </c>
    </row>
    <row r="5" spans="2:7" x14ac:dyDescent="0.3">
      <c r="B5">
        <v>2</v>
      </c>
      <c r="C5" t="str">
        <v>Vista</v>
      </c>
    </row>
    <row r="6" spans="2:7" x14ac:dyDescent="0.3">
      <c r="B6">
        <v>3</v>
      </c>
      <c r="C6" t="str">
        <v>Carmen</v>
      </c>
    </row>
    <row r="7" spans="2:7" x14ac:dyDescent="0.3">
      <c r="B7">
        <v>4</v>
      </c>
      <c r="C7" t="str">
        <v>Charlotte Cracker</v>
      </c>
    </row>
    <row r="8" spans="2:7" x14ac:dyDescent="0.3">
      <c r="B8">
        <v>5</v>
      </c>
      <c r="C8" t="str">
        <v>Bartholomew Kuma</v>
      </c>
    </row>
    <row r="9" spans="2:7" x14ac:dyDescent="0.3">
      <c r="B9">
        <v>6</v>
      </c>
      <c r="C9" t="str">
        <v>Dadan</v>
      </c>
    </row>
    <row r="10" spans="2:7" x14ac:dyDescent="0.3">
      <c r="B10">
        <v>7</v>
      </c>
      <c r="C10" t="str">
        <v>Sengoku</v>
      </c>
    </row>
    <row r="11" spans="2:7" x14ac:dyDescent="0.3">
      <c r="B11">
        <v>8</v>
      </c>
      <c r="C11" t="str">
        <v>Jozu</v>
      </c>
    </row>
    <row r="12" spans="2:7" x14ac:dyDescent="0.3">
      <c r="B12">
        <v>9</v>
      </c>
      <c r="C12" t="str">
        <v>Tsuru</v>
      </c>
    </row>
    <row r="13" spans="2:7" x14ac:dyDescent="0.3">
      <c r="B13">
        <v>10</v>
      </c>
      <c r="C13" t="str">
        <v>Hina</v>
      </c>
    </row>
    <row r="14" spans="2:7" x14ac:dyDescent="0.3">
      <c r="B14">
        <v>11</v>
      </c>
      <c r="C14" t="str">
        <v>Daisy</v>
      </c>
    </row>
    <row r="15" spans="2:7" x14ac:dyDescent="0.3">
      <c r="B15">
        <v>12</v>
      </c>
      <c r="C15" t="str">
        <v>Silvers Rayleigh</v>
      </c>
    </row>
    <row r="16" spans="2:7" x14ac:dyDescent="0.3">
      <c r="B16">
        <v>13</v>
      </c>
      <c r="C16" t="str">
        <v>Don Krieg</v>
      </c>
    </row>
    <row r="17" spans="2:3" x14ac:dyDescent="0.3">
      <c r="B17">
        <v>14</v>
      </c>
      <c r="C17" t="str">
        <v>Eustass Kid</v>
      </c>
    </row>
    <row r="18" spans="2:3" x14ac:dyDescent="0.3">
      <c r="B18">
        <v>15</v>
      </c>
      <c r="C18" t="str">
        <v>Sadi</v>
      </c>
    </row>
    <row r="19" spans="2:3" x14ac:dyDescent="0.3">
      <c r="B19">
        <v>16</v>
      </c>
      <c r="C19" t="str">
        <v>Sugar</v>
      </c>
    </row>
    <row r="20" spans="2:3" x14ac:dyDescent="0.3">
      <c r="B20">
        <v>17</v>
      </c>
      <c r="C20" t="str">
        <v>Crocodile</v>
      </c>
    </row>
    <row r="21" spans="2:3" x14ac:dyDescent="0.3">
      <c r="B21">
        <v>18</v>
      </c>
      <c r="C21" t="str">
        <v>Stussy</v>
      </c>
    </row>
    <row r="22" spans="2:3" x14ac:dyDescent="0.3">
      <c r="B22">
        <v>19</v>
      </c>
      <c r="C22" t="str">
        <v>Miss All Sunday</v>
      </c>
    </row>
    <row r="23" spans="2:3" x14ac:dyDescent="0.3">
      <c r="B23">
        <v>20</v>
      </c>
      <c r="C23" t="str">
        <v>Belo Betty</v>
      </c>
    </row>
    <row r="24" spans="2:3" x14ac:dyDescent="0.3">
      <c r="B24">
        <v>21</v>
      </c>
      <c r="C24" t="str">
        <v>Van Augur</v>
      </c>
    </row>
    <row r="25" spans="2:3" x14ac:dyDescent="0.3">
      <c r="B25">
        <v>22</v>
      </c>
      <c r="C25" t="str">
        <v>Conis</v>
      </c>
    </row>
    <row r="26" spans="2:3" x14ac:dyDescent="0.3">
      <c r="B26">
        <v>23</v>
      </c>
      <c r="C26" t="str">
        <v>Spandam</v>
      </c>
    </row>
    <row r="27" spans="2:3" x14ac:dyDescent="0.3">
      <c r="B27">
        <v>24</v>
      </c>
      <c r="C27" t="str">
        <v>Orlumbus</v>
      </c>
    </row>
    <row r="28" spans="2:3" x14ac:dyDescent="0.3">
      <c r="B28">
        <v>25</v>
      </c>
      <c r="C28" t="str">
        <v>Binz</v>
      </c>
    </row>
    <row r="29" spans="2:3" x14ac:dyDescent="0.3">
      <c r="B29">
        <v>26</v>
      </c>
      <c r="C29" t="str">
        <v>Baby 5</v>
      </c>
    </row>
    <row r="30" spans="2:3" x14ac:dyDescent="0.3">
      <c r="B30">
        <v>27</v>
      </c>
      <c r="C30" t="str">
        <v>Gecko Moria</v>
      </c>
    </row>
    <row r="31" spans="2:3" x14ac:dyDescent="0.3">
      <c r="B31">
        <v>28</v>
      </c>
      <c r="C31" t="str">
        <v>Vinsmoke Yonji</v>
      </c>
    </row>
    <row r="32" spans="2:3" x14ac:dyDescent="0.3">
      <c r="B32">
        <v>29</v>
      </c>
      <c r="C32" t="str">
        <v>Kaido</v>
      </c>
    </row>
    <row r="33" spans="2:3" x14ac:dyDescent="0.3">
      <c r="B33">
        <v>30</v>
      </c>
      <c r="C33" t="str">
        <v>Nico Robin</v>
      </c>
    </row>
    <row r="34" spans="2:3" x14ac:dyDescent="0.3">
      <c r="B34">
        <v>31</v>
      </c>
      <c r="C34" t="str">
        <v>Koala</v>
      </c>
    </row>
    <row r="35" spans="2:3" x14ac:dyDescent="0.3">
      <c r="B35">
        <v>32</v>
      </c>
      <c r="C35" t="str">
        <v>Hody Jones</v>
      </c>
    </row>
    <row r="36" spans="2:3" x14ac:dyDescent="0.3">
      <c r="B36">
        <v>33</v>
      </c>
      <c r="C36" t="str">
        <v>Kawamatsu</v>
      </c>
    </row>
    <row r="37" spans="2:3" x14ac:dyDescent="0.3">
      <c r="B37">
        <v>34</v>
      </c>
      <c r="C37" t="str">
        <v>Atlas</v>
      </c>
    </row>
    <row r="38" spans="2:3" x14ac:dyDescent="0.3">
      <c r="B38">
        <v>35</v>
      </c>
      <c r="C38" t="str">
        <v>Charlotte Brulee</v>
      </c>
    </row>
    <row r="39" spans="2:3" x14ac:dyDescent="0.3">
      <c r="B39">
        <v>36</v>
      </c>
      <c r="C39" t="str">
        <v>Kujaku</v>
      </c>
    </row>
    <row r="40" spans="2:3" x14ac:dyDescent="0.3">
      <c r="B40">
        <v>37</v>
      </c>
      <c r="C40" t="str">
        <v>Scopper Gaban</v>
      </c>
    </row>
    <row r="41" spans="2:3" x14ac:dyDescent="0.3">
      <c r="B41">
        <v>38</v>
      </c>
      <c r="C41" t="str">
        <v>Gion (Momousagi)</v>
      </c>
    </row>
    <row r="42" spans="2:3" x14ac:dyDescent="0.3">
      <c r="B42">
        <v>39</v>
      </c>
      <c r="C42" t="str">
        <v>Fisher Tiger</v>
      </c>
    </row>
    <row r="43" spans="2:3" x14ac:dyDescent="0.3">
      <c r="B43">
        <v>40</v>
      </c>
      <c r="C43" t="str">
        <v>Franky</v>
      </c>
    </row>
    <row r="44" spans="2:3" x14ac:dyDescent="0.3">
      <c r="B44">
        <v>41</v>
      </c>
      <c r="C44" t="str">
        <v>Kurozumi Higurashi</v>
      </c>
    </row>
    <row r="45" spans="2:3" x14ac:dyDescent="0.3">
      <c r="B45">
        <v>42</v>
      </c>
      <c r="C45" t="str">
        <v>Catarina Devon</v>
      </c>
    </row>
    <row r="46" spans="2:3" x14ac:dyDescent="0.3">
      <c r="B46">
        <v>43</v>
      </c>
      <c r="C46" t="str">
        <v>Bonney's mother Ginny</v>
      </c>
    </row>
    <row r="47" spans="2:3" x14ac:dyDescent="0.3">
      <c r="B47">
        <v>44</v>
      </c>
      <c r="C47" t="str">
        <v>Hatchan</v>
      </c>
    </row>
    <row r="48" spans="2:3" x14ac:dyDescent="0.3">
      <c r="B48">
        <v>45</v>
      </c>
      <c r="C48" t="str">
        <v>Sakazuki (Akainu)</v>
      </c>
    </row>
    <row r="49" spans="2:3" x14ac:dyDescent="0.3">
      <c r="B49">
        <v>46</v>
      </c>
      <c r="C49" t="str">
        <v>Charlotte Perospero</v>
      </c>
    </row>
    <row r="50" spans="2:3" x14ac:dyDescent="0.3">
      <c r="B50">
        <v>47</v>
      </c>
      <c r="C50" t="str">
        <v>Basil Hawkins</v>
      </c>
    </row>
    <row r="51" spans="2:3" x14ac:dyDescent="0.3">
      <c r="B51">
        <v>48</v>
      </c>
      <c r="C51" t="str">
        <v>Miss Merry Christmas</v>
      </c>
    </row>
    <row r="52" spans="2:3" x14ac:dyDescent="0.3">
      <c r="B52">
        <v>49</v>
      </c>
      <c r="C52" t="str">
        <v>Don Sai</v>
      </c>
    </row>
    <row r="53" spans="2:3" x14ac:dyDescent="0.3">
      <c r="B53">
        <v>50</v>
      </c>
      <c r="C53" t="str">
        <v>Fukuro</v>
      </c>
    </row>
    <row r="54" spans="2:3" x14ac:dyDescent="0.3">
      <c r="B54">
        <v>51</v>
      </c>
      <c r="C54" t="str">
        <v>Vinsmoke Reiju</v>
      </c>
    </row>
    <row r="55" spans="2:3" x14ac:dyDescent="0.3">
      <c r="B55">
        <v>52</v>
      </c>
      <c r="C55" t="str">
        <v>Zephyr's wife</v>
      </c>
    </row>
    <row r="56" spans="2:3" x14ac:dyDescent="0.3">
      <c r="B56">
        <v>53</v>
      </c>
      <c r="C56" t="str">
        <v>Enel</v>
      </c>
    </row>
    <row r="57" spans="2:3" x14ac:dyDescent="0.3">
      <c r="B57">
        <v>54</v>
      </c>
      <c r="C57" t="str">
        <v>Vander Decken IX</v>
      </c>
    </row>
    <row r="58" spans="2:3" x14ac:dyDescent="0.3">
      <c r="B58">
        <v>55</v>
      </c>
      <c r="C58" t="str">
        <v>Pedro</v>
      </c>
    </row>
    <row r="59" spans="2:3" x14ac:dyDescent="0.3">
      <c r="B59">
        <v>56</v>
      </c>
      <c r="C59" t="str">
        <v>Kozuki Toki</v>
      </c>
    </row>
    <row r="60" spans="2:3" x14ac:dyDescent="0.3">
      <c r="B60">
        <v>57</v>
      </c>
      <c r="C60" t="str">
        <v>Aramaki (Ryokugyu)</v>
      </c>
    </row>
    <row r="61" spans="2:3" x14ac:dyDescent="0.3">
      <c r="B61">
        <v>58</v>
      </c>
      <c r="C61" t="str">
        <v>Pica</v>
      </c>
    </row>
    <row r="62" spans="2:3" x14ac:dyDescent="0.3">
      <c r="B62">
        <v>59</v>
      </c>
      <c r="C62" t="str">
        <v>Saldeath</v>
      </c>
    </row>
    <row r="63" spans="2:3" x14ac:dyDescent="0.3">
      <c r="B63">
        <v>60</v>
      </c>
      <c r="C63" t="str">
        <v>Killer</v>
      </c>
    </row>
    <row r="64" spans="2:3" x14ac:dyDescent="0.3">
      <c r="B64">
        <v>61</v>
      </c>
      <c r="C64" t="str">
        <v>King</v>
      </c>
    </row>
    <row r="65" spans="2:3" x14ac:dyDescent="0.3">
      <c r="B65">
        <v>62</v>
      </c>
      <c r="C65" t="str">
        <v>York</v>
      </c>
    </row>
    <row r="66" spans="2:3" x14ac:dyDescent="0.3">
      <c r="B66">
        <v>63</v>
      </c>
      <c r="C66" t="str">
        <v>Portgas D. Ace</v>
      </c>
    </row>
    <row r="67" spans="2:3" x14ac:dyDescent="0.3">
      <c r="B67">
        <v>64</v>
      </c>
      <c r="C67" t="str">
        <v>Perona</v>
      </c>
    </row>
    <row r="68" spans="2:3" x14ac:dyDescent="0.3">
      <c r="B68">
        <v>65</v>
      </c>
      <c r="C68" t="str">
        <v>Cavendish</v>
      </c>
    </row>
    <row r="69" spans="2:3" x14ac:dyDescent="0.3">
      <c r="B69">
        <v>66</v>
      </c>
      <c r="C69" t="str">
        <v>Ulti</v>
      </c>
    </row>
    <row r="70" spans="2:3" x14ac:dyDescent="0.3">
      <c r="B70">
        <v>67</v>
      </c>
      <c r="C70" t="str">
        <v>Nami</v>
      </c>
    </row>
    <row r="71" spans="2:3" x14ac:dyDescent="0.3">
      <c r="B71">
        <v>68</v>
      </c>
      <c r="C71" t="str">
        <v>Raizo</v>
      </c>
    </row>
    <row r="72" spans="2:3" x14ac:dyDescent="0.3">
      <c r="B72">
        <v>69</v>
      </c>
      <c r="C72" t="str">
        <v>Charlotte Galette</v>
      </c>
    </row>
    <row r="73" spans="2:3" x14ac:dyDescent="0.3">
      <c r="B73">
        <v>70</v>
      </c>
      <c r="C73" t="str">
        <v>Aphelandra</v>
      </c>
    </row>
    <row r="74" spans="2:3" x14ac:dyDescent="0.3">
      <c r="B74">
        <v>71</v>
      </c>
      <c r="C74" t="str">
        <v>Charlotte Daifuku</v>
      </c>
    </row>
    <row r="75" spans="2:3" x14ac:dyDescent="0.3">
      <c r="B75">
        <v>72</v>
      </c>
      <c r="C75" t="str">
        <v>Sanji</v>
      </c>
    </row>
    <row r="76" spans="2:3" x14ac:dyDescent="0.3">
      <c r="B76">
        <v>73</v>
      </c>
      <c r="C76" t="str">
        <v>Donquixote Doflamingo</v>
      </c>
    </row>
    <row r="77" spans="2:3" x14ac:dyDescent="0.3">
      <c r="B77">
        <v>74</v>
      </c>
      <c r="C77" t="str">
        <v>Makino</v>
      </c>
    </row>
    <row r="78" spans="2:3" x14ac:dyDescent="0.3">
      <c r="B78">
        <v>75</v>
      </c>
      <c r="C78" t="str">
        <v>Vinsmoke Judge</v>
      </c>
    </row>
    <row r="79" spans="2:3" x14ac:dyDescent="0.3">
      <c r="B79">
        <v>76</v>
      </c>
      <c r="C79" t="str">
        <v>Aisa</v>
      </c>
    </row>
    <row r="80" spans="2:3" x14ac:dyDescent="0.3">
      <c r="B80">
        <v>77</v>
      </c>
      <c r="C80" t="str">
        <v>Scratchmen Apoo</v>
      </c>
    </row>
    <row r="81" spans="2:3" x14ac:dyDescent="0.3">
      <c r="B81">
        <v>78</v>
      </c>
      <c r="C81" t="str">
        <v>Sweet Pea</v>
      </c>
    </row>
    <row r="82" spans="2:3" x14ac:dyDescent="0.3">
      <c r="B82">
        <v>79</v>
      </c>
      <c r="C82" t="str">
        <v>Kin'emon</v>
      </c>
    </row>
    <row r="83" spans="2:3" x14ac:dyDescent="0.3">
      <c r="B83">
        <v>80</v>
      </c>
      <c r="C83" t="str">
        <v>Charlotte Pudding</v>
      </c>
    </row>
    <row r="84" spans="2:3" x14ac:dyDescent="0.3">
      <c r="B84">
        <v>81</v>
      </c>
      <c r="C84" t="str">
        <v>Marguerite</v>
      </c>
    </row>
    <row r="85" spans="2:3" x14ac:dyDescent="0.3">
      <c r="B85">
        <v>82</v>
      </c>
      <c r="C85" t="str">
        <v>Jack</v>
      </c>
    </row>
    <row r="86" spans="2:3" x14ac:dyDescent="0.3">
      <c r="B86">
        <v>83</v>
      </c>
      <c r="C86" t="str">
        <v>Marshall D. Teach</v>
      </c>
    </row>
    <row r="87" spans="2:3" x14ac:dyDescent="0.3">
      <c r="B87">
        <v>84</v>
      </c>
      <c r="C87" t="str">
        <v>Charlotte Linlin (Big Mom)</v>
      </c>
    </row>
    <row r="88" spans="2:3" x14ac:dyDescent="0.3">
      <c r="B88">
        <v>85</v>
      </c>
      <c r="C88" t="str">
        <v>Curly Dadan</v>
      </c>
    </row>
    <row r="89" spans="2:3" x14ac:dyDescent="0.3">
      <c r="B89">
        <v>86</v>
      </c>
      <c r="C89" t="str">
        <v>Brook</v>
      </c>
    </row>
    <row r="90" spans="2:3" x14ac:dyDescent="0.3">
      <c r="B90">
        <v>87</v>
      </c>
      <c r="C90" t="str">
        <v>Inuarashi</v>
      </c>
    </row>
    <row r="91" spans="2:3" x14ac:dyDescent="0.3">
      <c r="B91">
        <v>88</v>
      </c>
      <c r="C91" t="str">
        <v>Merry</v>
      </c>
    </row>
    <row r="92" spans="2:3" x14ac:dyDescent="0.3">
      <c r="B92">
        <v>89</v>
      </c>
      <c r="C92" t="str">
        <v>Tony Tony Chopper</v>
      </c>
    </row>
    <row r="93" spans="2:3" x14ac:dyDescent="0.3">
      <c r="B93">
        <v>90</v>
      </c>
      <c r="C93" t="str">
        <v>Queen</v>
      </c>
    </row>
    <row r="94" spans="2:3" x14ac:dyDescent="0.3">
      <c r="B94">
        <v>91</v>
      </c>
      <c r="C94" t="str">
        <v>Chimney</v>
      </c>
    </row>
    <row r="95" spans="2:3" x14ac:dyDescent="0.3">
      <c r="B95">
        <v>92</v>
      </c>
      <c r="C95" t="str">
        <v>Bell-mère</v>
      </c>
    </row>
    <row r="96" spans="2:3" x14ac:dyDescent="0.3">
      <c r="B96">
        <v>93</v>
      </c>
      <c r="C96" t="str">
        <v>Charlotte Oven</v>
      </c>
    </row>
    <row r="97" spans="2:3" x14ac:dyDescent="0.3">
      <c r="B97">
        <v>94</v>
      </c>
      <c r="C97" t="str">
        <v>Kuina</v>
      </c>
    </row>
    <row r="98" spans="2:3" x14ac:dyDescent="0.3">
      <c r="B98">
        <v>95</v>
      </c>
      <c r="C98" t="str">
        <v>Shanks</v>
      </c>
    </row>
    <row r="99" spans="2:3" x14ac:dyDescent="0.3">
      <c r="B99">
        <v>96</v>
      </c>
      <c r="C99" t="str">
        <v>Kaku</v>
      </c>
    </row>
    <row r="100" spans="2:3" x14ac:dyDescent="0.3">
      <c r="B100">
        <v>97</v>
      </c>
      <c r="C100" t="str">
        <v>Shyarly</v>
      </c>
    </row>
    <row r="101" spans="2:3" x14ac:dyDescent="0.3">
      <c r="B101">
        <v>98</v>
      </c>
      <c r="C101" t="str">
        <v>Cocoa</v>
      </c>
    </row>
    <row r="102" spans="2:3" x14ac:dyDescent="0.3">
      <c r="B102">
        <v>99</v>
      </c>
      <c r="C102" t="str">
        <v>Monkey D. Luffy</v>
      </c>
    </row>
    <row r="103" spans="2:3" x14ac:dyDescent="0.3">
      <c r="B103">
        <v>100</v>
      </c>
      <c r="C103" t="str">
        <v>Shaka</v>
      </c>
    </row>
    <row r="104" spans="2:3" x14ac:dyDescent="0.3">
      <c r="B104">
        <v>101</v>
      </c>
      <c r="C104" t="str">
        <v>Gloriosa</v>
      </c>
    </row>
    <row r="105" spans="2:3" x14ac:dyDescent="0.3">
      <c r="B105">
        <v>102</v>
      </c>
      <c r="C105" t="str">
        <v>Daz Bones (Mr. 1)</v>
      </c>
    </row>
    <row r="106" spans="2:3" x14ac:dyDescent="0.3">
      <c r="B106">
        <v>103</v>
      </c>
      <c r="C106" t="str">
        <v>Kalifa</v>
      </c>
    </row>
    <row r="107" spans="2:3" x14ac:dyDescent="0.3">
      <c r="B107">
        <v>104</v>
      </c>
      <c r="C107" t="str">
        <v>Blueno</v>
      </c>
    </row>
    <row r="108" spans="2:3" x14ac:dyDescent="0.3">
      <c r="B108">
        <v>105</v>
      </c>
      <c r="C108" t="str">
        <v>Hajrudin</v>
      </c>
    </row>
    <row r="109" spans="2:3" x14ac:dyDescent="0.3">
      <c r="B109">
        <v>106</v>
      </c>
      <c r="C109" t="str">
        <v>Charlotte Smoothie</v>
      </c>
    </row>
    <row r="110" spans="2:3" x14ac:dyDescent="0.3">
      <c r="B110">
        <v>107</v>
      </c>
      <c r="C110" t="str">
        <v>Nekomamushi</v>
      </c>
    </row>
    <row r="111" spans="2:3" x14ac:dyDescent="0.3">
      <c r="B111">
        <v>108</v>
      </c>
      <c r="C111" t="str">
        <v>Bartolomeo</v>
      </c>
    </row>
    <row r="112" spans="2:3" x14ac:dyDescent="0.3">
      <c r="B112">
        <v>109</v>
      </c>
      <c r="C112" t="str">
        <v>Camie</v>
      </c>
    </row>
    <row r="113" spans="2:3" x14ac:dyDescent="0.3">
      <c r="B113">
        <v>110</v>
      </c>
      <c r="C113" t="str">
        <v>Marigold</v>
      </c>
    </row>
    <row r="114" spans="2:3" x14ac:dyDescent="0.3">
      <c r="B114">
        <v>111</v>
      </c>
      <c r="C114" t="str">
        <v>Miss Monday</v>
      </c>
    </row>
    <row r="115" spans="2:3" x14ac:dyDescent="0.3">
      <c r="B115">
        <v>112</v>
      </c>
      <c r="C115" t="str">
        <v>Ashura Doji</v>
      </c>
    </row>
    <row r="116" spans="2:3" x14ac:dyDescent="0.3">
      <c r="B116">
        <v>113</v>
      </c>
      <c r="C116" t="str">
        <v>Denjiro</v>
      </c>
    </row>
    <row r="117" spans="2:3" x14ac:dyDescent="0.3">
      <c r="B117">
        <v>114</v>
      </c>
      <c r="C117" t="str">
        <v>Calgara's descendant Aisa</v>
      </c>
    </row>
    <row r="118" spans="2:3" x14ac:dyDescent="0.3">
      <c r="B118">
        <v>115</v>
      </c>
      <c r="C118" t="str">
        <v>Kokoro</v>
      </c>
    </row>
    <row r="119" spans="2:3" x14ac:dyDescent="0.3">
      <c r="B119">
        <v>116</v>
      </c>
      <c r="C119" t="str">
        <v>Foxy</v>
      </c>
    </row>
    <row r="120" spans="2:3" x14ac:dyDescent="0.3">
      <c r="B120">
        <v>117</v>
      </c>
      <c r="C120" t="str">
        <v>Viola</v>
      </c>
    </row>
    <row r="121" spans="2:3" x14ac:dyDescent="0.3">
      <c r="B121">
        <v>118</v>
      </c>
      <c r="C121" t="str">
        <v>Gan Fall</v>
      </c>
    </row>
    <row r="122" spans="2:3" x14ac:dyDescent="0.3">
      <c r="B122">
        <v>119</v>
      </c>
      <c r="C122" t="str">
        <v>Kuro</v>
      </c>
    </row>
    <row r="123" spans="2:3" x14ac:dyDescent="0.3">
      <c r="B123">
        <v>120</v>
      </c>
      <c r="C123" t="str">
        <v>Urouge</v>
      </c>
    </row>
    <row r="124" spans="2:3" x14ac:dyDescent="0.3">
      <c r="B124">
        <v>121</v>
      </c>
      <c r="C124" t="str">
        <v>Rob Lucci</v>
      </c>
    </row>
    <row r="125" spans="2:3" x14ac:dyDescent="0.3">
      <c r="B125">
        <v>122</v>
      </c>
      <c r="C125" t="str">
        <v>Morley</v>
      </c>
    </row>
    <row r="126" spans="2:3" x14ac:dyDescent="0.3">
      <c r="B126">
        <v>123</v>
      </c>
      <c r="C126" t="str">
        <v>Duval</v>
      </c>
    </row>
    <row r="127" spans="2:3" x14ac:dyDescent="0.3">
      <c r="B127">
        <v>124</v>
      </c>
      <c r="C127" t="str">
        <v>Wyper</v>
      </c>
    </row>
    <row r="128" spans="2:3" x14ac:dyDescent="0.3">
      <c r="B128">
        <v>125</v>
      </c>
      <c r="C128" t="str">
        <v>Miss Doublefinger</v>
      </c>
    </row>
    <row r="129" spans="2:3" x14ac:dyDescent="0.3">
      <c r="B129">
        <v>126</v>
      </c>
      <c r="C129" t="str">
        <v>Domino</v>
      </c>
    </row>
    <row r="130" spans="2:3" x14ac:dyDescent="0.3">
      <c r="B130">
        <v>127</v>
      </c>
      <c r="C130" t="str">
        <v>Donquixote Rosinante</v>
      </c>
    </row>
    <row r="131" spans="2:3" x14ac:dyDescent="0.3">
      <c r="B131">
        <v>128</v>
      </c>
      <c r="C131" t="str">
        <v>Charlotte Katakuri</v>
      </c>
    </row>
    <row r="132" spans="2:3" x14ac:dyDescent="0.3">
      <c r="B132">
        <v>129</v>
      </c>
      <c r="C132" t="str">
        <v>Boa Hancock's mother</v>
      </c>
    </row>
    <row r="133" spans="2:3" x14ac:dyDescent="0.3">
      <c r="B133">
        <v>130</v>
      </c>
      <c r="C133" t="str">
        <v>Don Chinjao</v>
      </c>
    </row>
    <row r="134" spans="2:3" x14ac:dyDescent="0.3">
      <c r="B134">
        <v>131</v>
      </c>
      <c r="C134" t="str">
        <v>Baccarat</v>
      </c>
    </row>
    <row r="135" spans="2:3" x14ac:dyDescent="0.3">
      <c r="B135">
        <v>132</v>
      </c>
      <c r="C135" t="str">
        <v>Usopp</v>
      </c>
    </row>
    <row r="136" spans="2:3" x14ac:dyDescent="0.3">
      <c r="B136">
        <v>133</v>
      </c>
      <c r="C136" t="str">
        <v>Carrot</v>
      </c>
    </row>
    <row r="137" spans="2:3" x14ac:dyDescent="0.3">
      <c r="B137">
        <v>134</v>
      </c>
      <c r="C137" t="str">
        <v>Smoker</v>
      </c>
    </row>
    <row r="138" spans="2:3" x14ac:dyDescent="0.3">
      <c r="B138">
        <v>135</v>
      </c>
      <c r="C138" t="str">
        <v>Yamato</v>
      </c>
    </row>
    <row r="139" spans="2:3" x14ac:dyDescent="0.3">
      <c r="B139">
        <v>136</v>
      </c>
      <c r="C139" t="str">
        <v>Edison</v>
      </c>
    </row>
    <row r="140" spans="2:3" x14ac:dyDescent="0.3">
      <c r="B140">
        <v>137</v>
      </c>
      <c r="C140" t="str">
        <v>Boa Marigold</v>
      </c>
    </row>
    <row r="141" spans="2:3" x14ac:dyDescent="0.3">
      <c r="B141">
        <v>138</v>
      </c>
      <c r="C141" t="str">
        <v>Otohime</v>
      </c>
    </row>
    <row r="142" spans="2:3" x14ac:dyDescent="0.3">
      <c r="B142">
        <v>139</v>
      </c>
      <c r="C142" t="str">
        <v>Trebol</v>
      </c>
    </row>
    <row r="143" spans="2:3" x14ac:dyDescent="0.3">
      <c r="B143">
        <v>140</v>
      </c>
      <c r="C143" t="str">
        <v>Mont Blanc Cricket</v>
      </c>
    </row>
    <row r="144" spans="2:3" x14ac:dyDescent="0.3">
      <c r="B144">
        <v>141</v>
      </c>
      <c r="C144" t="str">
        <v>X Drake</v>
      </c>
    </row>
    <row r="145" spans="2:3" x14ac:dyDescent="0.3">
      <c r="B145">
        <v>142</v>
      </c>
      <c r="C145" t="str">
        <v>Jinbe</v>
      </c>
    </row>
    <row r="146" spans="2:3" x14ac:dyDescent="0.3">
      <c r="B146">
        <v>143</v>
      </c>
      <c r="C146" t="str">
        <v>Tashigi</v>
      </c>
    </row>
    <row r="147" spans="2:3" x14ac:dyDescent="0.3">
      <c r="B147">
        <v>144</v>
      </c>
      <c r="C147" t="str">
        <v>Vinsmoke Ichiji</v>
      </c>
    </row>
    <row r="148" spans="2:3" x14ac:dyDescent="0.3">
      <c r="B148">
        <v>145</v>
      </c>
      <c r="C148" t="str">
        <v>Gin</v>
      </c>
    </row>
    <row r="149" spans="2:3" x14ac:dyDescent="0.3">
      <c r="B149">
        <v>146</v>
      </c>
      <c r="C149" t="str">
        <v>Lilith</v>
      </c>
    </row>
    <row r="150" spans="2:3" x14ac:dyDescent="0.3">
      <c r="B150">
        <v>147</v>
      </c>
      <c r="C150" t="str">
        <v>S-Snake</v>
      </c>
    </row>
    <row r="151" spans="2:3" x14ac:dyDescent="0.3">
      <c r="B151">
        <v>148</v>
      </c>
      <c r="C151" t="str">
        <v>Tom</v>
      </c>
    </row>
    <row r="152" spans="2:3" x14ac:dyDescent="0.3">
      <c r="B152">
        <v>149</v>
      </c>
      <c r="C152" t="str">
        <v>Trafalgar D. Water Law</v>
      </c>
    </row>
    <row r="153" spans="2:3" x14ac:dyDescent="0.3">
      <c r="B153">
        <v>150</v>
      </c>
      <c r="C153" t="str">
        <v>Edward Newgate</v>
      </c>
    </row>
    <row r="154" spans="2:3" x14ac:dyDescent="0.3">
      <c r="B154">
        <v>151</v>
      </c>
      <c r="C154" t="str">
        <v>Issho (Fujitora)</v>
      </c>
    </row>
    <row r="155" spans="2:3" x14ac:dyDescent="0.3">
      <c r="B155">
        <v>152</v>
      </c>
      <c r="C155" t="str">
        <v>Inazuma</v>
      </c>
    </row>
    <row r="156" spans="2:3" x14ac:dyDescent="0.3">
      <c r="B156">
        <v>153</v>
      </c>
      <c r="C156" t="str">
        <v>Black Maria</v>
      </c>
    </row>
    <row r="157" spans="2:3" x14ac:dyDescent="0.3">
      <c r="B157">
        <v>154</v>
      </c>
      <c r="C157" t="str">
        <v>Gol D. Roger</v>
      </c>
    </row>
    <row r="158" spans="2:3" x14ac:dyDescent="0.3">
      <c r="B158">
        <v>155</v>
      </c>
      <c r="C158" t="str">
        <v>Galdino (Mr. 3)</v>
      </c>
    </row>
    <row r="159" spans="2:3" x14ac:dyDescent="0.3">
      <c r="B159">
        <v>156</v>
      </c>
      <c r="C159" t="str">
        <v>Stussy (clone)</v>
      </c>
    </row>
    <row r="160" spans="2:3" x14ac:dyDescent="0.3">
      <c r="B160">
        <v>157</v>
      </c>
      <c r="C160" t="str">
        <v>Kikunojo</v>
      </c>
    </row>
    <row r="161" spans="2:3" x14ac:dyDescent="0.3">
      <c r="B161">
        <v>158</v>
      </c>
      <c r="C161" t="str">
        <v>Alvida</v>
      </c>
    </row>
    <row r="162" spans="2:3" x14ac:dyDescent="0.3">
      <c r="B162">
        <v>159</v>
      </c>
      <c r="C162" t="str">
        <v>Rebecca's mother Scarlett</v>
      </c>
    </row>
    <row r="163" spans="2:3" x14ac:dyDescent="0.3">
      <c r="B163">
        <v>160</v>
      </c>
      <c r="C163" t="str">
        <v>Jabra</v>
      </c>
    </row>
    <row r="164" spans="2:3" x14ac:dyDescent="0.3">
      <c r="B164">
        <v>161</v>
      </c>
      <c r="C164" t="str">
        <v>Monkey D. Garp</v>
      </c>
    </row>
    <row r="165" spans="2:3" x14ac:dyDescent="0.3">
      <c r="B165">
        <v>162</v>
      </c>
      <c r="C165" t="str">
        <v>Rebecca</v>
      </c>
    </row>
    <row r="166" spans="2:3" x14ac:dyDescent="0.3">
      <c r="B166">
        <v>163</v>
      </c>
      <c r="C166" t="str">
        <v>Diamante</v>
      </c>
    </row>
    <row r="167" spans="2:3" x14ac:dyDescent="0.3">
      <c r="B167">
        <v>164</v>
      </c>
      <c r="C167" t="str">
        <v>Miss Valentine</v>
      </c>
    </row>
    <row r="168" spans="2:3" x14ac:dyDescent="0.3">
      <c r="B168">
        <v>165</v>
      </c>
      <c r="C168" t="str">
        <v>Borsalino (Kizaru)</v>
      </c>
    </row>
    <row r="169" spans="2:3" x14ac:dyDescent="0.3">
      <c r="B169">
        <v>166</v>
      </c>
      <c r="C169" t="str">
        <v>Vergo</v>
      </c>
    </row>
    <row r="170" spans="2:3" x14ac:dyDescent="0.3">
      <c r="B170">
        <v>167</v>
      </c>
      <c r="C170" t="str">
        <v>Paulie</v>
      </c>
    </row>
    <row r="171" spans="2:3" x14ac:dyDescent="0.3">
      <c r="B171">
        <v>168</v>
      </c>
      <c r="C171" t="str">
        <v>Momonosuke</v>
      </c>
    </row>
    <row r="172" spans="2:3" x14ac:dyDescent="0.3">
      <c r="B172">
        <v>169</v>
      </c>
      <c r="C172" t="str">
        <v>Kuzan (Aokiji)</v>
      </c>
    </row>
    <row r="173" spans="2:3" x14ac:dyDescent="0.3">
      <c r="B173">
        <v>170</v>
      </c>
      <c r="C173" t="str">
        <v>Kaya</v>
      </c>
    </row>
    <row r="174" spans="2:3" x14ac:dyDescent="0.3">
      <c r="B174">
        <v>171</v>
      </c>
      <c r="C174" t="str">
        <v>Hannyabal's colleague Domino</v>
      </c>
    </row>
    <row r="175" spans="2:3" x14ac:dyDescent="0.3">
      <c r="B175">
        <v>172</v>
      </c>
      <c r="C175" t="str">
        <v>Charlotte Amande</v>
      </c>
    </row>
    <row r="176" spans="2:3" x14ac:dyDescent="0.3">
      <c r="B176">
        <v>173</v>
      </c>
      <c r="C176" t="str">
        <v>Capone Bege</v>
      </c>
    </row>
    <row r="177" spans="2:3" x14ac:dyDescent="0.3">
      <c r="B177">
        <v>174</v>
      </c>
      <c r="C177" t="str">
        <v>Ain</v>
      </c>
    </row>
    <row r="178" spans="2:3" x14ac:dyDescent="0.3">
      <c r="B178">
        <v>175</v>
      </c>
      <c r="C178" t="str">
        <v>Madame Shyarly</v>
      </c>
    </row>
    <row r="179" spans="2:3" x14ac:dyDescent="0.3">
      <c r="B179">
        <v>176</v>
      </c>
      <c r="C179" t="str">
        <v>Roronoa Zoro</v>
      </c>
    </row>
    <row r="180" spans="2:3" x14ac:dyDescent="0.3">
      <c r="B180">
        <v>177</v>
      </c>
      <c r="C180" t="str">
        <v>Caesar Clown</v>
      </c>
    </row>
    <row r="181" spans="2:3" x14ac:dyDescent="0.3">
      <c r="B181">
        <v>178</v>
      </c>
      <c r="C181" t="str">
        <v>Sandersonia</v>
      </c>
    </row>
    <row r="182" spans="2:3" x14ac:dyDescent="0.3">
      <c r="B182">
        <v>179</v>
      </c>
      <c r="C182" t="str">
        <v>Charlotte Flampe</v>
      </c>
    </row>
    <row r="183" spans="2:3" x14ac:dyDescent="0.3">
      <c r="B183">
        <v>180</v>
      </c>
      <c r="C183" t="str">
        <v>Boa Sandersonia</v>
      </c>
    </row>
    <row r="184" spans="2:3" x14ac:dyDescent="0.3">
      <c r="B184">
        <v>181</v>
      </c>
      <c r="C184" t="str">
        <v>Jewelry Bonney</v>
      </c>
    </row>
    <row r="185" spans="2:3" x14ac:dyDescent="0.3">
      <c r="B185">
        <v>182</v>
      </c>
      <c r="C185" t="str">
        <v>Charlotte Snack</v>
      </c>
    </row>
    <row r="186" spans="2:3" x14ac:dyDescent="0.3">
      <c r="B186">
        <v>183</v>
      </c>
      <c r="C186" t="str">
        <v>Monet</v>
      </c>
    </row>
    <row r="187" spans="2:3" x14ac:dyDescent="0.3">
      <c r="B187">
        <v>184</v>
      </c>
      <c r="C187" t="str">
        <v>Iceburg</v>
      </c>
    </row>
    <row r="188" spans="2:3" x14ac:dyDescent="0.3">
      <c r="B188">
        <v>185</v>
      </c>
      <c r="C188" t="str">
        <v>Arlong</v>
      </c>
    </row>
    <row r="189" spans="2:3" x14ac:dyDescent="0.3">
      <c r="B189">
        <v>186</v>
      </c>
      <c r="C189" t="str">
        <v>Karasu</v>
      </c>
    </row>
    <row r="190" spans="2:3" x14ac:dyDescent="0.3">
      <c r="B190">
        <v>187</v>
      </c>
      <c r="C190" t="str">
        <v>Carina</v>
      </c>
    </row>
    <row r="191" spans="2:3" x14ac:dyDescent="0.3">
      <c r="B191">
        <v>188</v>
      </c>
      <c r="C191" t="str">
        <v>Kozuki Oden</v>
      </c>
    </row>
    <row r="192" spans="2:3" x14ac:dyDescent="0.3">
      <c r="B192">
        <v>189</v>
      </c>
      <c r="C192" t="str">
        <v>Miss Goldenweek</v>
      </c>
    </row>
    <row r="193" spans="2:3" x14ac:dyDescent="0.3">
      <c r="B193">
        <v>190</v>
      </c>
      <c r="C193" t="str">
        <v>Bentham (Bon Clay)</v>
      </c>
    </row>
    <row r="194" spans="2:3" x14ac:dyDescent="0.3">
      <c r="B194">
        <v>191</v>
      </c>
      <c r="C194" t="str">
        <v>Shirahoshi</v>
      </c>
    </row>
    <row r="195" spans="2:3" x14ac:dyDescent="0.3">
      <c r="B195">
        <v>192</v>
      </c>
      <c r="C195" t="str">
        <v>Marco</v>
      </c>
    </row>
    <row r="196" spans="2:3" x14ac:dyDescent="0.3">
      <c r="B196">
        <v>193</v>
      </c>
      <c r="C196" t="str">
        <v>Vinsmoke Niji</v>
      </c>
    </row>
    <row r="197" spans="2:3" x14ac:dyDescent="0.3">
      <c r="B197">
        <v>194</v>
      </c>
      <c r="C197" t="str">
        <v>Viola's sister Scarlet</v>
      </c>
    </row>
    <row r="198" spans="2:3" x14ac:dyDescent="0.3">
      <c r="B198">
        <v>195</v>
      </c>
      <c r="C198" t="str">
        <v>Boa Hancock</v>
      </c>
    </row>
  </sheetData>
  <mergeCells count="1">
    <mergeCell ref="C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DED8-BA81-42F1-A3DA-D74331A9358A}">
  <dimension ref="B2:T65"/>
  <sheetViews>
    <sheetView workbookViewId="0">
      <selection activeCell="D16" sqref="D16"/>
    </sheetView>
  </sheetViews>
  <sheetFormatPr defaultRowHeight="14.4" x14ac:dyDescent="0.3"/>
  <cols>
    <col min="2" max="2" width="17.88671875" bestFit="1" customWidth="1"/>
    <col min="3" max="3" width="7.44140625" bestFit="1" customWidth="1"/>
    <col min="4" max="4" width="9.33203125" bestFit="1" customWidth="1"/>
    <col min="5" max="5" width="5.44140625" bestFit="1" customWidth="1"/>
    <col min="6" max="6" width="9.5546875" bestFit="1" customWidth="1"/>
    <col min="7" max="7" width="5.44140625" bestFit="1" customWidth="1"/>
    <col min="8" max="8" width="17.5546875" bestFit="1" customWidth="1"/>
    <col min="9" max="9" width="7.44140625" bestFit="1" customWidth="1"/>
    <col min="10" max="10" width="16" bestFit="1" customWidth="1"/>
    <col min="11" max="11" width="12.88671875" bestFit="1" customWidth="1"/>
    <col min="12" max="12" width="5.44140625" bestFit="1" customWidth="1"/>
    <col min="13" max="13" width="3.33203125" bestFit="1" customWidth="1"/>
    <col min="14" max="14" width="4.109375" bestFit="1" customWidth="1"/>
    <col min="15" max="15" width="22.88671875" bestFit="1" customWidth="1"/>
    <col min="16" max="16" width="14.88671875" bestFit="1" customWidth="1"/>
    <col min="17" max="17" width="6.44140625" bestFit="1" customWidth="1"/>
    <col min="18" max="18" width="11.33203125" bestFit="1" customWidth="1"/>
    <col min="19" max="19" width="4.44140625" bestFit="1" customWidth="1"/>
    <col min="20" max="20" width="14.6640625" bestFit="1" customWidth="1"/>
  </cols>
  <sheetData>
    <row r="2" spans="2:20" x14ac:dyDescent="0.3">
      <c r="B2" s="5" t="s">
        <v>425</v>
      </c>
      <c r="C2" s="6"/>
      <c r="D2" s="7"/>
      <c r="H2" s="5" t="s">
        <v>426</v>
      </c>
      <c r="I2" s="6"/>
      <c r="J2" s="7"/>
    </row>
    <row r="4" spans="2:20" x14ac:dyDescent="0.3">
      <c r="B4" s="4" t="str" cm="1">
        <f t="array" ref="B4:B65">_xlfn.VSTACK(Dataset!K1,_xlfn._xlws.SORT(_xlfn.UNIQUE(Dataset!K2:K196)))</f>
        <v>Rank</v>
      </c>
      <c r="H4" t="str" cm="1">
        <f t="array" ref="H4:T13">_xlfn._xlws.SORT(_xlfn._xlws.FILTER(Dataset!A2:M196,Dataset!C2:C196="Straw Hat Pirates"),5,-1)</f>
        <v>Monkey D. Luffy</v>
      </c>
      <c r="I4" t="str">
        <v>Male</v>
      </c>
      <c r="J4" t="str">
        <v>Straw Hat Pirates</v>
      </c>
      <c r="K4" t="str">
        <v>Captain</v>
      </c>
      <c r="L4">
        <v>3000</v>
      </c>
      <c r="M4">
        <v>19</v>
      </c>
      <c r="N4" t="str">
        <v>Yes</v>
      </c>
      <c r="O4" t="str">
        <v>All Three</v>
      </c>
      <c r="P4" t="str">
        <v>East Blue</v>
      </c>
      <c r="Q4" t="str">
        <v>Active</v>
      </c>
      <c r="R4" t="str">
        <v>Emperor</v>
      </c>
      <c r="S4">
        <v>174</v>
      </c>
      <c r="T4" t="str">
        <v>Romance Dawn</v>
      </c>
    </row>
    <row r="5" spans="2:20" x14ac:dyDescent="0.3">
      <c r="B5" s="3" t="str">
        <v>Admiral</v>
      </c>
      <c r="H5" t="str">
        <v>Roronoa Zoro</v>
      </c>
      <c r="I5" t="str">
        <v>Male</v>
      </c>
      <c r="J5" t="str">
        <v>Straw Hat Pirates</v>
      </c>
      <c r="K5" t="str">
        <v>Swordsman</v>
      </c>
      <c r="L5">
        <v>1111</v>
      </c>
      <c r="M5">
        <v>21</v>
      </c>
      <c r="N5" t="str">
        <v>No</v>
      </c>
      <c r="O5" t="str">
        <v>Observation + Armament</v>
      </c>
      <c r="P5" t="str">
        <v>East Blue</v>
      </c>
      <c r="Q5" t="str">
        <v>Active</v>
      </c>
      <c r="R5" t="str">
        <v>Swordsman</v>
      </c>
      <c r="S5">
        <v>181</v>
      </c>
      <c r="T5" t="str">
        <v>Romance Dawn</v>
      </c>
    </row>
    <row r="6" spans="2:20" x14ac:dyDescent="0.3">
      <c r="B6" s="3" t="str">
        <v>All-Star</v>
      </c>
      <c r="H6" t="str">
        <v>Jinbe</v>
      </c>
      <c r="I6" t="str">
        <v>Male</v>
      </c>
      <c r="J6" t="str">
        <v>Straw Hat Pirates</v>
      </c>
      <c r="K6" t="str">
        <v>Helmsman</v>
      </c>
      <c r="L6">
        <v>1100</v>
      </c>
      <c r="M6">
        <v>46</v>
      </c>
      <c r="N6" t="str">
        <v>No</v>
      </c>
      <c r="O6" t="str">
        <v>Armament</v>
      </c>
      <c r="P6" t="str">
        <v>Fish-Man Island</v>
      </c>
      <c r="Q6" t="str">
        <v>Active</v>
      </c>
      <c r="R6" t="str">
        <v>Helmsman</v>
      </c>
      <c r="S6">
        <v>301</v>
      </c>
      <c r="T6" t="str">
        <v>Impel Down</v>
      </c>
    </row>
    <row r="7" spans="2:20" x14ac:dyDescent="0.3">
      <c r="B7" s="3" t="str">
        <v>Bartender</v>
      </c>
      <c r="H7" t="str">
        <v>Sanji</v>
      </c>
      <c r="I7" t="str">
        <v>Male</v>
      </c>
      <c r="J7" t="str">
        <v>Straw Hat Pirates</v>
      </c>
      <c r="K7" t="str">
        <v>Cook</v>
      </c>
      <c r="L7">
        <v>1032</v>
      </c>
      <c r="M7">
        <v>21</v>
      </c>
      <c r="N7" t="str">
        <v>No</v>
      </c>
      <c r="O7" t="str">
        <v>Observation + Armament</v>
      </c>
      <c r="P7" t="str">
        <v>North Blue</v>
      </c>
      <c r="Q7" t="str">
        <v>Active</v>
      </c>
      <c r="R7" t="str">
        <v>Fighter</v>
      </c>
      <c r="S7">
        <v>180</v>
      </c>
      <c r="T7" t="str">
        <v>Baratie</v>
      </c>
    </row>
    <row r="8" spans="2:20" x14ac:dyDescent="0.3">
      <c r="B8" s="3" t="str">
        <v>Butler</v>
      </c>
      <c r="H8" t="str">
        <v>Nico Robin</v>
      </c>
      <c r="I8" t="str">
        <v>Female</v>
      </c>
      <c r="J8" t="str">
        <v>Straw Hat Pirates</v>
      </c>
      <c r="K8" t="str">
        <v>Archaeologist</v>
      </c>
      <c r="L8">
        <v>930</v>
      </c>
      <c r="M8">
        <v>30</v>
      </c>
      <c r="N8" t="str">
        <v>Yes</v>
      </c>
      <c r="O8">
        <v>0</v>
      </c>
      <c r="P8" t="str">
        <v>West Blue</v>
      </c>
      <c r="Q8" t="str">
        <v>Active</v>
      </c>
      <c r="R8" t="str">
        <v>Officer</v>
      </c>
      <c r="S8">
        <v>188</v>
      </c>
      <c r="T8" t="str">
        <v>Alabasta</v>
      </c>
    </row>
    <row r="9" spans="2:20" x14ac:dyDescent="0.3">
      <c r="B9" s="3" t="str">
        <v>Captain</v>
      </c>
      <c r="H9" t="str">
        <v>Usopp</v>
      </c>
      <c r="I9" t="str">
        <v>Male</v>
      </c>
      <c r="J9" t="str">
        <v>Straw Hat Pirates</v>
      </c>
      <c r="K9" t="str">
        <v>Sniper</v>
      </c>
      <c r="L9">
        <v>500</v>
      </c>
      <c r="M9">
        <v>19</v>
      </c>
      <c r="N9" t="str">
        <v>No</v>
      </c>
      <c r="O9" t="str">
        <v>Observation</v>
      </c>
      <c r="P9" t="str">
        <v>East Blue</v>
      </c>
      <c r="Q9" t="str">
        <v>Active</v>
      </c>
      <c r="R9" t="str">
        <v>Sniper</v>
      </c>
      <c r="S9">
        <v>176</v>
      </c>
      <c r="T9" t="str">
        <v>Syrup Village</v>
      </c>
    </row>
    <row r="10" spans="2:20" x14ac:dyDescent="0.3">
      <c r="B10" s="3" t="str">
        <v>Chef</v>
      </c>
      <c r="H10" t="str">
        <v>Franky</v>
      </c>
      <c r="I10" t="str">
        <v>Male</v>
      </c>
      <c r="J10" t="str">
        <v>Straw Hat Pirates</v>
      </c>
      <c r="K10" t="str">
        <v>Shipwright</v>
      </c>
      <c r="L10">
        <v>394</v>
      </c>
      <c r="M10">
        <v>36</v>
      </c>
      <c r="N10" t="str">
        <v>No</v>
      </c>
      <c r="O10">
        <v>0</v>
      </c>
      <c r="P10" t="str">
        <v>South Blue</v>
      </c>
      <c r="Q10" t="str">
        <v>Active</v>
      </c>
      <c r="R10" t="str">
        <v>Shipwright</v>
      </c>
      <c r="S10">
        <v>240</v>
      </c>
      <c r="T10" t="str">
        <v>Water 7</v>
      </c>
    </row>
    <row r="11" spans="2:20" x14ac:dyDescent="0.3">
      <c r="B11" s="3" t="str">
        <v>Chief Guard</v>
      </c>
      <c r="H11" t="str">
        <v>Brook</v>
      </c>
      <c r="I11" t="str">
        <v>Male</v>
      </c>
      <c r="J11" t="str">
        <v>Straw Hat Pirates</v>
      </c>
      <c r="K11" t="str">
        <v>Musician</v>
      </c>
      <c r="L11">
        <v>383</v>
      </c>
      <c r="M11">
        <v>90</v>
      </c>
      <c r="N11" t="str">
        <v>Yes</v>
      </c>
      <c r="O11">
        <v>0</v>
      </c>
      <c r="P11" t="str">
        <v>West Blue</v>
      </c>
      <c r="Q11" t="str">
        <v>Active</v>
      </c>
      <c r="R11" t="str">
        <v>Musician</v>
      </c>
      <c r="S11">
        <v>277</v>
      </c>
      <c r="T11" t="str">
        <v>Thriller Bark</v>
      </c>
    </row>
    <row r="12" spans="2:20" x14ac:dyDescent="0.3">
      <c r="B12" s="3" t="str">
        <v>Civilian</v>
      </c>
      <c r="H12" t="str">
        <v>Nami</v>
      </c>
      <c r="I12" t="str">
        <v>Female</v>
      </c>
      <c r="J12" t="str">
        <v>Straw Hat Pirates</v>
      </c>
      <c r="K12" t="str">
        <v>Navigator</v>
      </c>
      <c r="L12">
        <v>366</v>
      </c>
      <c r="M12">
        <v>20</v>
      </c>
      <c r="N12" t="str">
        <v>No</v>
      </c>
      <c r="O12">
        <v>0</v>
      </c>
      <c r="P12" t="str">
        <v>East Blue</v>
      </c>
      <c r="Q12" t="str">
        <v>Active</v>
      </c>
      <c r="R12" t="str">
        <v>Navigator</v>
      </c>
      <c r="S12">
        <v>170</v>
      </c>
      <c r="T12" t="str">
        <v>Orange Town</v>
      </c>
    </row>
    <row r="13" spans="2:20" x14ac:dyDescent="0.3">
      <c r="B13" s="3" t="str">
        <v>Commander</v>
      </c>
      <c r="H13" t="str">
        <v>Tony Tony Chopper</v>
      </c>
      <c r="I13" t="str">
        <v>Male</v>
      </c>
      <c r="J13" t="str">
        <v>Straw Hat Pirates</v>
      </c>
      <c r="K13" t="str">
        <v>Doctor</v>
      </c>
      <c r="L13">
        <v>100</v>
      </c>
      <c r="M13">
        <v>17</v>
      </c>
      <c r="N13" t="str">
        <v>Yes</v>
      </c>
      <c r="O13">
        <v>0</v>
      </c>
      <c r="P13" t="str">
        <v>Grand Line</v>
      </c>
      <c r="Q13" t="str">
        <v>Active</v>
      </c>
      <c r="R13" t="str">
        <v>Doctor</v>
      </c>
      <c r="S13">
        <v>90</v>
      </c>
      <c r="T13" t="str">
        <v>Drum Island</v>
      </c>
    </row>
    <row r="14" spans="2:20" x14ac:dyDescent="0.3">
      <c r="B14" s="3" t="str">
        <v>CP0</v>
      </c>
    </row>
    <row r="15" spans="2:20" x14ac:dyDescent="0.3">
      <c r="B15" s="3" t="str">
        <v>CP9</v>
      </c>
    </row>
    <row r="16" spans="2:20" x14ac:dyDescent="0.3">
      <c r="B16" s="3" t="str">
        <v>Daimyo</v>
      </c>
      <c r="H16" t="str" cm="1">
        <f t="array" ref="H16:I25">_xlfn._xlws.SORT(_xlfn._xlws.FILTER(_xlfn.CHOOSECOLS(Dataset!A2:M196,1,5),Dataset!C2:C196="Straw Hat Pirates"),2,-1)</f>
        <v>Monkey D. Luffy</v>
      </c>
      <c r="I16">
        <v>3000</v>
      </c>
    </row>
    <row r="17" spans="2:9" x14ac:dyDescent="0.3">
      <c r="B17" s="3" t="str">
        <v>Dark King</v>
      </c>
      <c r="H17" t="str">
        <v>Roronoa Zoro</v>
      </c>
      <c r="I17">
        <v>1111</v>
      </c>
    </row>
    <row r="18" spans="2:9" x14ac:dyDescent="0.3">
      <c r="B18" s="3" t="str">
        <v>Doctor</v>
      </c>
      <c r="H18" t="str">
        <v>Jinbe</v>
      </c>
      <c r="I18">
        <v>1100</v>
      </c>
    </row>
    <row r="19" spans="2:9" x14ac:dyDescent="0.3">
      <c r="B19" s="3" t="str">
        <v>Duke</v>
      </c>
      <c r="H19" t="str">
        <v>Sanji</v>
      </c>
      <c r="I19">
        <v>1032</v>
      </c>
    </row>
    <row r="20" spans="2:9" x14ac:dyDescent="0.3">
      <c r="B20" s="3" t="str">
        <v>Emperor</v>
      </c>
      <c r="H20" t="str">
        <v>Nico Robin</v>
      </c>
      <c r="I20">
        <v>930</v>
      </c>
    </row>
    <row r="21" spans="2:9" x14ac:dyDescent="0.3">
      <c r="B21" s="3" t="str">
        <v>Fighter</v>
      </c>
      <c r="H21" t="str">
        <v>Usopp</v>
      </c>
      <c r="I21">
        <v>500</v>
      </c>
    </row>
    <row r="22" spans="2:9" x14ac:dyDescent="0.3">
      <c r="B22" s="3" t="str">
        <v>Fleet Admiral</v>
      </c>
      <c r="H22" t="str">
        <v>Franky</v>
      </c>
      <c r="I22">
        <v>394</v>
      </c>
    </row>
    <row r="23" spans="2:9" x14ac:dyDescent="0.3">
      <c r="B23" s="3" t="str">
        <v>Former Empress</v>
      </c>
      <c r="H23" t="str">
        <v>Brook</v>
      </c>
      <c r="I23">
        <v>383</v>
      </c>
    </row>
    <row r="24" spans="2:9" x14ac:dyDescent="0.3">
      <c r="B24" s="3" t="str">
        <v>Former God</v>
      </c>
      <c r="H24" t="str">
        <v>Nami</v>
      </c>
      <c r="I24">
        <v>366</v>
      </c>
    </row>
    <row r="25" spans="2:9" x14ac:dyDescent="0.3">
      <c r="B25" s="3" t="str">
        <v>Former Warlord</v>
      </c>
      <c r="H25" t="str">
        <v>Tony Tony Chopper</v>
      </c>
      <c r="I25">
        <v>100</v>
      </c>
    </row>
    <row r="26" spans="2:9" x14ac:dyDescent="0.3">
      <c r="B26" s="3" t="str">
        <v>Fortune Teller</v>
      </c>
    </row>
    <row r="27" spans="2:9" x14ac:dyDescent="0.3">
      <c r="B27" s="3" t="str">
        <v>Gladiator</v>
      </c>
    </row>
    <row r="28" spans="2:9" x14ac:dyDescent="0.3">
      <c r="B28" s="3" t="str">
        <v>God</v>
      </c>
    </row>
    <row r="29" spans="2:9" x14ac:dyDescent="0.3">
      <c r="B29" s="3" t="str">
        <v>Government</v>
      </c>
    </row>
    <row r="30" spans="2:9" x14ac:dyDescent="0.3">
      <c r="B30" s="3" t="str">
        <v>Guard</v>
      </c>
    </row>
    <row r="31" spans="2:9" x14ac:dyDescent="0.3">
      <c r="B31" s="3" t="str">
        <v>Helmsman</v>
      </c>
    </row>
    <row r="32" spans="2:9" x14ac:dyDescent="0.3">
      <c r="B32" s="3" t="str">
        <v>King</v>
      </c>
    </row>
    <row r="33" spans="2:2" x14ac:dyDescent="0.3">
      <c r="B33" s="3" t="str">
        <v>Leader</v>
      </c>
    </row>
    <row r="34" spans="2:2" x14ac:dyDescent="0.3">
      <c r="B34" s="3" t="str">
        <v>Marine</v>
      </c>
    </row>
    <row r="35" spans="2:2" x14ac:dyDescent="0.3">
      <c r="B35" s="3" t="str">
        <v>Mayor</v>
      </c>
    </row>
    <row r="36" spans="2:2" x14ac:dyDescent="0.3">
      <c r="B36" s="3" t="str">
        <v>Mermaid</v>
      </c>
    </row>
    <row r="37" spans="2:2" x14ac:dyDescent="0.3">
      <c r="B37" s="3" t="str">
        <v>Minister</v>
      </c>
    </row>
    <row r="38" spans="2:2" x14ac:dyDescent="0.3">
      <c r="B38" s="3" t="str">
        <v>Musician</v>
      </c>
    </row>
    <row r="39" spans="2:2" x14ac:dyDescent="0.3">
      <c r="B39" s="3" t="str">
        <v>Navigator</v>
      </c>
    </row>
    <row r="40" spans="2:2" x14ac:dyDescent="0.3">
      <c r="B40" s="3" t="str">
        <v>Ninja</v>
      </c>
    </row>
    <row r="41" spans="2:2" x14ac:dyDescent="0.3">
      <c r="B41" s="3" t="str">
        <v>Officer</v>
      </c>
    </row>
    <row r="42" spans="2:2" x14ac:dyDescent="0.3">
      <c r="B42" s="3" t="str">
        <v>Pirate</v>
      </c>
    </row>
    <row r="43" spans="2:2" x14ac:dyDescent="0.3">
      <c r="B43" s="3" t="str">
        <v>Pirate King</v>
      </c>
    </row>
    <row r="44" spans="2:2" x14ac:dyDescent="0.3">
      <c r="B44" s="3" t="str">
        <v>Prince</v>
      </c>
    </row>
    <row r="45" spans="2:2" x14ac:dyDescent="0.3">
      <c r="B45" s="3" t="str">
        <v>Princess</v>
      </c>
    </row>
    <row r="46" spans="2:2" x14ac:dyDescent="0.3">
      <c r="B46" s="3" t="str">
        <v>Queen</v>
      </c>
    </row>
    <row r="47" spans="2:2" x14ac:dyDescent="0.3">
      <c r="B47" s="3" t="str">
        <v>Rear Admiral</v>
      </c>
    </row>
    <row r="48" spans="2:2" x14ac:dyDescent="0.3">
      <c r="B48" s="3" t="str">
        <v>Samurai</v>
      </c>
    </row>
    <row r="49" spans="2:2" x14ac:dyDescent="0.3">
      <c r="B49" s="3" t="str">
        <v>Scientist</v>
      </c>
    </row>
    <row r="50" spans="2:2" x14ac:dyDescent="0.3">
      <c r="B50" s="3" t="str">
        <v>Seraphim</v>
      </c>
    </row>
    <row r="51" spans="2:2" x14ac:dyDescent="0.3">
      <c r="B51" s="3" t="str">
        <v>Shipwright</v>
      </c>
    </row>
    <row r="52" spans="2:2" x14ac:dyDescent="0.3">
      <c r="B52" s="3" t="str">
        <v>Shogun</v>
      </c>
    </row>
    <row r="53" spans="2:2" x14ac:dyDescent="0.3">
      <c r="B53" s="3" t="str">
        <v>Sniper</v>
      </c>
    </row>
    <row r="54" spans="2:2" x14ac:dyDescent="0.3">
      <c r="B54" s="3" t="str">
        <v>Station Master</v>
      </c>
    </row>
    <row r="55" spans="2:2" x14ac:dyDescent="0.3">
      <c r="B55" s="3" t="str">
        <v>Supernova</v>
      </c>
    </row>
    <row r="56" spans="2:2" x14ac:dyDescent="0.3">
      <c r="B56" s="3" t="str">
        <v>Sweet Commander</v>
      </c>
    </row>
    <row r="57" spans="2:2" x14ac:dyDescent="0.3">
      <c r="B57" s="3" t="str">
        <v>Swordsman</v>
      </c>
    </row>
    <row r="58" spans="2:2" x14ac:dyDescent="0.3">
      <c r="B58" s="3" t="str">
        <v>Swordswoman</v>
      </c>
    </row>
    <row r="59" spans="2:2" x14ac:dyDescent="0.3">
      <c r="B59" s="3" t="str">
        <v>Thief</v>
      </c>
    </row>
    <row r="60" spans="2:2" x14ac:dyDescent="0.3">
      <c r="B60" s="3" t="str">
        <v>Titanic Captain</v>
      </c>
    </row>
    <row r="61" spans="2:2" x14ac:dyDescent="0.3">
      <c r="B61" s="3" t="str">
        <v>Tobiroppo</v>
      </c>
    </row>
    <row r="62" spans="2:2" x14ac:dyDescent="0.3">
      <c r="B62" s="3" t="str">
        <v>Vice Admiral</v>
      </c>
    </row>
    <row r="63" spans="2:2" x14ac:dyDescent="0.3">
      <c r="B63" s="3" t="str">
        <v>Warlord</v>
      </c>
    </row>
    <row r="64" spans="2:2" x14ac:dyDescent="0.3">
      <c r="B64" s="3" t="str">
        <v>Warrior</v>
      </c>
    </row>
    <row r="65" spans="2:2" x14ac:dyDescent="0.3">
      <c r="B65" s="3" t="str">
        <v>Witch</v>
      </c>
    </row>
  </sheetData>
  <mergeCells count="2">
    <mergeCell ref="B2:D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Filter</vt:lpstr>
      <vt:lpstr>Sort</vt:lpstr>
      <vt:lpstr>Sortby</vt:lpstr>
      <vt:lpstr>Unique</vt:lpstr>
      <vt:lpstr>Sequence</vt:lpstr>
      <vt:lpstr>Combination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 Mahato</cp:lastModifiedBy>
  <cp:revision/>
  <dcterms:created xsi:type="dcterms:W3CDTF">2026-09-14T18:22:18Z</dcterms:created>
  <dcterms:modified xsi:type="dcterms:W3CDTF">2026-10-07T23:33:11Z</dcterms:modified>
  <cp:category/>
  <cp:contentStatus/>
</cp:coreProperties>
</file>