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5795DC4-3C2F-42AD-8CFB-CC6C070B42B8}" xr6:coauthVersionLast="47" xr6:coauthVersionMax="47" xr10:uidLastSave="{00000000-0000-0000-0000-000000000000}"/>
  <bookViews>
    <workbookView xWindow="360" yWindow="15" windowWidth="20955" windowHeight="9720" firstSheet="2" xr2:uid="{00000000-000D-0000-FFFF-FFFF00000000}"/>
  </bookViews>
  <sheets>
    <sheet name="XMATCH " sheetId="4" r:id="rId1"/>
    <sheet name="Multiple-Criteria XLOOKUP" sheetId="1" r:id="rId2"/>
    <sheet name="Reverse XLOOK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  <c r="J6" i="4"/>
  <c r="K18" i="3" a="1"/>
  <c r="K18" i="3"/>
  <c r="K14" i="3"/>
  <c r="K9" i="3"/>
  <c r="K4" i="3"/>
  <c r="K13" i="1"/>
  <c r="K8" i="1"/>
  <c r="K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<sst xmlns="http://schemas.openxmlformats.org/spreadsheetml/2006/main" count="343" uniqueCount="182">
  <si>
    <t>Student_ID</t>
  </si>
  <si>
    <t>Student_Name</t>
  </si>
  <si>
    <t>Course</t>
  </si>
  <si>
    <t>Subject</t>
  </si>
  <si>
    <t>City</t>
  </si>
  <si>
    <t>Marks</t>
  </si>
  <si>
    <t>Grade</t>
  </si>
  <si>
    <t>ST001</t>
  </si>
  <si>
    <t>Aarav</t>
  </si>
  <si>
    <t>BCA</t>
  </si>
  <si>
    <t>Python</t>
  </si>
  <si>
    <t>Delhi</t>
  </si>
  <si>
    <t>A</t>
  </si>
  <si>
    <t>ST002</t>
  </si>
  <si>
    <t>Diya</t>
  </si>
  <si>
    <t>SQL</t>
  </si>
  <si>
    <t>Mumbai</t>
  </si>
  <si>
    <t>B</t>
  </si>
  <si>
    <t>ST003</t>
  </si>
  <si>
    <t>Kabir</t>
  </si>
  <si>
    <t>Excel</t>
  </si>
  <si>
    <t>Pune</t>
  </si>
  <si>
    <t>A+</t>
  </si>
  <si>
    <t>ST004</t>
  </si>
  <si>
    <t>Anaya</t>
  </si>
  <si>
    <t>ST005</t>
  </si>
  <si>
    <t>Vihaan</t>
  </si>
  <si>
    <t>MCA</t>
  </si>
  <si>
    <t>Bangalore</t>
  </si>
  <si>
    <t>ST006</t>
  </si>
  <si>
    <t>Meera</t>
  </si>
  <si>
    <t>ST007</t>
  </si>
  <si>
    <t>Arjun</t>
  </si>
  <si>
    <t>ST008</t>
  </si>
  <si>
    <t>Siya</t>
  </si>
  <si>
    <t>ST009</t>
  </si>
  <si>
    <t>Reyansh</t>
  </si>
  <si>
    <t>ST010</t>
  </si>
  <si>
    <t>Aadhya</t>
  </si>
  <si>
    <t>ST011</t>
  </si>
  <si>
    <t>Advik</t>
  </si>
  <si>
    <t>ST012</t>
  </si>
  <si>
    <t>Myra</t>
  </si>
  <si>
    <t>Find the position of Student_Name ="an..."</t>
  </si>
  <si>
    <t>ST013</t>
  </si>
  <si>
    <t>Rudra</t>
  </si>
  <si>
    <t>ST014</t>
  </si>
  <si>
    <t>Anvi</t>
  </si>
  <si>
    <t>Position</t>
  </si>
  <si>
    <t>ST015</t>
  </si>
  <si>
    <t>Ishaan</t>
  </si>
  <si>
    <t>Employee_ID</t>
  </si>
  <si>
    <t>Employee_Name</t>
  </si>
  <si>
    <t>Department</t>
  </si>
  <si>
    <t>Job_Title</t>
  </si>
  <si>
    <t>Experience_Years</t>
  </si>
  <si>
    <t>Salary</t>
  </si>
  <si>
    <t>Performance_Rating</t>
  </si>
  <si>
    <t>EMP001</t>
  </si>
  <si>
    <t>Rahul Sharma</t>
  </si>
  <si>
    <t>IT</t>
  </si>
  <si>
    <t>Data Analyst</t>
  </si>
  <si>
    <t>1.Find the Salary of employee who works in IT &amp; Delhi</t>
  </si>
  <si>
    <t>EMP002</t>
  </si>
  <si>
    <t>Aman Verma</t>
  </si>
  <si>
    <t>HR</t>
  </si>
  <si>
    <t>HR Executive</t>
  </si>
  <si>
    <t>EMP003</t>
  </si>
  <si>
    <t>Neha Singh</t>
  </si>
  <si>
    <t>Data Scientist</t>
  </si>
  <si>
    <t>EMP004</t>
  </si>
  <si>
    <t>Priya Gupta</t>
  </si>
  <si>
    <t>Sales</t>
  </si>
  <si>
    <t>Sales Executive</t>
  </si>
  <si>
    <t>EMP005</t>
  </si>
  <si>
    <t>Rohit Kumar</t>
  </si>
  <si>
    <t>Finance</t>
  </si>
  <si>
    <t>Financial Analyst</t>
  </si>
  <si>
    <t>2.Find the Department of Aman Verma &amp; from Mumbai</t>
  </si>
  <si>
    <t>EMP006</t>
  </si>
  <si>
    <t>Anjali Mehta</t>
  </si>
  <si>
    <t>EMP007</t>
  </si>
  <si>
    <t>Vikas Yadav</t>
  </si>
  <si>
    <t>Marketing</t>
  </si>
  <si>
    <t>Marketing Executive</t>
  </si>
  <si>
    <t>EMP008</t>
  </si>
  <si>
    <t>Simran Kaur</t>
  </si>
  <si>
    <t>Recruiter</t>
  </si>
  <si>
    <t>Chandigarh</t>
  </si>
  <si>
    <t>EMP009</t>
  </si>
  <si>
    <t>Arjun Patel</t>
  </si>
  <si>
    <t>Software Engineer</t>
  </si>
  <si>
    <t>EMP010</t>
  </si>
  <si>
    <t>Pooja Sharma</t>
  </si>
  <si>
    <t>Sales Manager</t>
  </si>
  <si>
    <t>3.Find the employee who Department = Finance  Experience = 6</t>
  </si>
  <si>
    <t>EMP011</t>
  </si>
  <si>
    <t>Karan Singh</t>
  </si>
  <si>
    <t>Accountant</t>
  </si>
  <si>
    <t>EMP012</t>
  </si>
  <si>
    <t>Riya Jain</t>
  </si>
  <si>
    <t>Business Analyst</t>
  </si>
  <si>
    <t>Employee</t>
  </si>
  <si>
    <t>EMP013</t>
  </si>
  <si>
    <t>Manish Gupta</t>
  </si>
  <si>
    <t>Digital Marketer</t>
  </si>
  <si>
    <t>EMP014</t>
  </si>
  <si>
    <t>Sneha Roy</t>
  </si>
  <si>
    <t>HR Manager</t>
  </si>
  <si>
    <t>Kolkata</t>
  </si>
  <si>
    <t>EMP015</t>
  </si>
  <si>
    <t>Aditya Verma</t>
  </si>
  <si>
    <t>Data Engineer</t>
  </si>
  <si>
    <t>EMP016</t>
  </si>
  <si>
    <t>Kavita Sharma</t>
  </si>
  <si>
    <t>EMP017</t>
  </si>
  <si>
    <t>Nikhil Jain</t>
  </si>
  <si>
    <t>EMP018</t>
  </si>
  <si>
    <t>Divya Singh</t>
  </si>
  <si>
    <t>EMP019</t>
  </si>
  <si>
    <t>Saurabh Kumar</t>
  </si>
  <si>
    <t>SEO Specialist</t>
  </si>
  <si>
    <t>EMP020</t>
  </si>
  <si>
    <t>Megha Patel</t>
  </si>
  <si>
    <t>Ahmedabad</t>
  </si>
  <si>
    <t>EMP021</t>
  </si>
  <si>
    <t>Varun Mehta</t>
  </si>
  <si>
    <t>EMP022</t>
  </si>
  <si>
    <t>Isha Gupta</t>
  </si>
  <si>
    <t>EMP023</t>
  </si>
  <si>
    <t>Raj Malhotra</t>
  </si>
  <si>
    <t>EMP024</t>
  </si>
  <si>
    <t>Tanya Kapoor</t>
  </si>
  <si>
    <t>EMP025</t>
  </si>
  <si>
    <t>Deepak Yadav</t>
  </si>
  <si>
    <t>Marketing Manager</t>
  </si>
  <si>
    <t>Order_ID</t>
  </si>
  <si>
    <t>Customer_Name</t>
  </si>
  <si>
    <t>Product</t>
  </si>
  <si>
    <t>Category</t>
  </si>
  <si>
    <t>Salesperson</t>
  </si>
  <si>
    <t>Amount</t>
  </si>
  <si>
    <t>ORD001</t>
  </si>
  <si>
    <t>Rahul</t>
  </si>
  <si>
    <t>Laptop</t>
  </si>
  <si>
    <t>Electronics</t>
  </si>
  <si>
    <t>Amit</t>
  </si>
  <si>
    <t>1.Find the Last Customer who buy laptop</t>
  </si>
  <si>
    <t>ORD002</t>
  </si>
  <si>
    <t>Priya</t>
  </si>
  <si>
    <t>Mouse</t>
  </si>
  <si>
    <t>Neha</t>
  </si>
  <si>
    <t>ORD003</t>
  </si>
  <si>
    <t>Aman</t>
  </si>
  <si>
    <t>Keyboard</t>
  </si>
  <si>
    <t>ORD004</t>
  </si>
  <si>
    <t>Sneha</t>
  </si>
  <si>
    <t>Monitor</t>
  </si>
  <si>
    <t>ORD005</t>
  </si>
  <si>
    <t>Rohan</t>
  </si>
  <si>
    <t>ORD006</t>
  </si>
  <si>
    <t>Kavita</t>
  </si>
  <si>
    <t>Printer</t>
  </si>
  <si>
    <t>2. Who was the last customer handled by salesperson Amit</t>
  </si>
  <si>
    <t>ORD007</t>
  </si>
  <si>
    <t>ORD008</t>
  </si>
  <si>
    <t>ORD009</t>
  </si>
  <si>
    <t>Vijay</t>
  </si>
  <si>
    <t>ORD010</t>
  </si>
  <si>
    <t>Pooja</t>
  </si>
  <si>
    <t>ORD011</t>
  </si>
  <si>
    <t>Karan</t>
  </si>
  <si>
    <t>3. Find the Order ID of the last order from Delhi</t>
  </si>
  <si>
    <t>ORD012</t>
  </si>
  <si>
    <t>Riya</t>
  </si>
  <si>
    <t>ORD013</t>
  </si>
  <si>
    <t>Deepak</t>
  </si>
  <si>
    <t>ORD014</t>
  </si>
  <si>
    <t>Simran</t>
  </si>
  <si>
    <t>ORD015</t>
  </si>
  <si>
    <t>Raj</t>
  </si>
  <si>
    <t>4. Find a Customer who buy Laptop &amp; from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</si>
</sst>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0" fillId="4" borderId="1" xfId="0" applyFill="1" applyBorder="1"/>
    <xf numFmtId="0" fontId="0" fillId="4" borderId="3" xfId="0" applyFill="1" applyBorder="1"/>
    <xf numFmtId="0" fontId="0" fillId="5" borderId="3" xfId="0" applyFill="1" applyBorder="1"/>
    <xf numFmtId="0" fontId="1" fillId="6" borderId="2" xfId="0" applyFont="1" applyFill="1" applyBorder="1"/>
    <xf numFmtId="0" fontId="0" fillId="0" borderId="2" xfId="0" applyBorder="1"/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0</xdr:row>
      <xdr:rowOff>180975</xdr:rowOff>
    </xdr:from>
    <xdr:to>
      <xdr:col>12</xdr:col>
      <xdr:colOff>600075</xdr:colOff>
      <xdr:row>10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01ECE4-37B3-54E0-868F-A7D6036E05F1}"/>
            </a:ext>
            <a:ext uri="{147F2762-F138-4A5C-976F-8EAC2B608ADB}">
              <a16:predDERef xmlns:a16="http://schemas.microsoft.com/office/drawing/2014/main" pred="{06FA16AB-2446-7749-864F-40853C410299}"/>
            </a:ext>
          </a:extLst>
        </xdr:cNvPr>
        <xdr:cNvSpPr txBox="1"/>
      </xdr:nvSpPr>
      <xdr:spPr>
        <a:xfrm>
          <a:off x="4572000" y="180975"/>
          <a:ext cx="3352800" cy="17526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tx1"/>
              </a:solidFill>
              <a:latin typeface="+mn-lt"/>
              <a:ea typeface="+mn-lt"/>
              <a:cs typeface="+mn-lt"/>
            </a:rPr>
            <a:t>MATCH and XMACTH :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Both are same.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Returns relative position of an item in an array.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MATCH : old position finder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-XMATCH : Improved position finder + direction control</a:t>
          </a: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NOTE:</a:t>
          </a: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Wildcard XMATCH</a:t>
          </a:r>
          <a:r>
            <a:rPr lang="en-US" sz="1100">
              <a:latin typeface="+mn-lt"/>
              <a:ea typeface="+mn-lt"/>
              <a:cs typeface="+mn-lt"/>
            </a:rPr>
            <a:t> = partial/pattern-based text ko find karna.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ACFE-D025-4809-9F92-4D16DF2B9339}">
  <dimension ref="A1:M16"/>
  <sheetViews>
    <sheetView tabSelected="1" workbookViewId="0">
      <selection activeCell="I20" sqref="I20"/>
    </sheetView>
  </sheetViews>
  <sheetFormatPr defaultRowHeight="15"/>
  <cols>
    <col min="1" max="1" width="11.140625" bestFit="1" customWidth="1"/>
    <col min="2" max="2" width="14.7109375" bestFit="1" customWidth="1"/>
    <col min="3" max="3" width="7.28515625" bestFit="1" customWidth="1"/>
    <col min="4" max="4" width="7.7109375" bestFit="1" customWidth="1"/>
    <col min="5" max="5" width="10" bestFit="1" customWidth="1"/>
    <col min="6" max="6" width="6.7109375" bestFit="1" customWidth="1"/>
    <col min="7" max="7" width="6.5703125" bestFit="1" customWidth="1"/>
    <col min="9" max="9" width="18.42578125" customWidth="1"/>
    <col min="10" max="10" width="11.7109375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13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>
        <v>85</v>
      </c>
      <c r="G2" s="9" t="s">
        <v>12</v>
      </c>
    </row>
    <row r="3" spans="1:13">
      <c r="A3" s="9" t="s">
        <v>13</v>
      </c>
      <c r="B3" s="9" t="s">
        <v>14</v>
      </c>
      <c r="C3" s="9" t="s">
        <v>9</v>
      </c>
      <c r="D3" s="9" t="s">
        <v>15</v>
      </c>
      <c r="E3" s="9" t="s">
        <v>16</v>
      </c>
      <c r="F3" s="9">
        <v>78</v>
      </c>
      <c r="G3" s="9" t="s">
        <v>17</v>
      </c>
    </row>
    <row r="4" spans="1:13">
      <c r="A4" s="9" t="s">
        <v>18</v>
      </c>
      <c r="B4" s="9" t="s">
        <v>19</v>
      </c>
      <c r="C4" s="9" t="s">
        <v>9</v>
      </c>
      <c r="D4" s="9" t="s">
        <v>20</v>
      </c>
      <c r="E4" s="9" t="s">
        <v>21</v>
      </c>
      <c r="F4" s="9">
        <v>92</v>
      </c>
      <c r="G4" s="9" t="s">
        <v>22</v>
      </c>
    </row>
    <row r="5" spans="1:13">
      <c r="A5" s="9" t="s">
        <v>23</v>
      </c>
      <c r="B5" s="9" t="s">
        <v>24</v>
      </c>
      <c r="C5" s="9" t="s">
        <v>9</v>
      </c>
      <c r="D5" s="9" t="s">
        <v>10</v>
      </c>
      <c r="E5" s="9" t="s">
        <v>11</v>
      </c>
      <c r="F5" s="9">
        <v>67</v>
      </c>
      <c r="G5" s="9" t="s">
        <v>17</v>
      </c>
    </row>
    <row r="6" spans="1:13">
      <c r="A6" s="9" t="s">
        <v>25</v>
      </c>
      <c r="B6" s="9" t="s">
        <v>26</v>
      </c>
      <c r="C6" s="9" t="s">
        <v>27</v>
      </c>
      <c r="D6" s="9" t="s">
        <v>15</v>
      </c>
      <c r="E6" s="9" t="s">
        <v>28</v>
      </c>
      <c r="F6" s="9">
        <v>88</v>
      </c>
      <c r="G6" s="9" t="s">
        <v>12</v>
      </c>
      <c r="J6">
        <f>_xlfn.XMATCH("Python",D2:D16)</f>
        <v>1</v>
      </c>
    </row>
    <row r="7" spans="1:13">
      <c r="A7" s="9" t="s">
        <v>29</v>
      </c>
      <c r="B7" s="9" t="s">
        <v>30</v>
      </c>
      <c r="C7" s="9" t="s">
        <v>27</v>
      </c>
      <c r="D7" s="9" t="s">
        <v>20</v>
      </c>
      <c r="E7" s="9" t="s">
        <v>16</v>
      </c>
      <c r="F7" s="9">
        <v>74</v>
      </c>
      <c r="G7" s="9" t="s">
        <v>17</v>
      </c>
    </row>
    <row r="8" spans="1:13">
      <c r="A8" s="9" t="s">
        <v>31</v>
      </c>
      <c r="B8" s="9" t="s">
        <v>32</v>
      </c>
      <c r="C8" s="9" t="s">
        <v>9</v>
      </c>
      <c r="D8" s="9" t="s">
        <v>10</v>
      </c>
      <c r="E8" s="9" t="s">
        <v>21</v>
      </c>
      <c r="F8" s="9">
        <v>95</v>
      </c>
      <c r="G8" s="9" t="s">
        <v>22</v>
      </c>
    </row>
    <row r="9" spans="1:13">
      <c r="A9" s="9" t="s">
        <v>33</v>
      </c>
      <c r="B9" s="9" t="s">
        <v>34</v>
      </c>
      <c r="C9" s="9" t="s">
        <v>27</v>
      </c>
      <c r="D9" s="9" t="s">
        <v>15</v>
      </c>
      <c r="E9" s="9" t="s">
        <v>11</v>
      </c>
      <c r="F9" s="9">
        <v>81</v>
      </c>
      <c r="G9" s="9" t="s">
        <v>12</v>
      </c>
    </row>
    <row r="10" spans="1:13">
      <c r="A10" s="9" t="s">
        <v>35</v>
      </c>
      <c r="B10" s="9" t="s">
        <v>36</v>
      </c>
      <c r="C10" s="9" t="s">
        <v>9</v>
      </c>
      <c r="D10" s="9" t="s">
        <v>20</v>
      </c>
      <c r="E10" s="9" t="s">
        <v>28</v>
      </c>
      <c r="F10" s="9">
        <v>69</v>
      </c>
      <c r="G10" s="9" t="s">
        <v>17</v>
      </c>
    </row>
    <row r="11" spans="1:13">
      <c r="A11" s="9" t="s">
        <v>37</v>
      </c>
      <c r="B11" s="9" t="s">
        <v>38</v>
      </c>
      <c r="C11" s="9" t="s">
        <v>27</v>
      </c>
      <c r="D11" s="9" t="s">
        <v>10</v>
      </c>
      <c r="E11" s="9" t="s">
        <v>16</v>
      </c>
      <c r="F11" s="9">
        <v>91</v>
      </c>
      <c r="G11" s="9" t="s">
        <v>22</v>
      </c>
    </row>
    <row r="12" spans="1:13">
      <c r="A12" s="9" t="s">
        <v>39</v>
      </c>
      <c r="B12" s="9" t="s">
        <v>40</v>
      </c>
      <c r="C12" s="9" t="s">
        <v>9</v>
      </c>
      <c r="D12" s="9" t="s">
        <v>15</v>
      </c>
      <c r="E12" s="9" t="s">
        <v>11</v>
      </c>
      <c r="F12" s="9">
        <v>76</v>
      </c>
      <c r="G12" s="9" t="s">
        <v>17</v>
      </c>
    </row>
    <row r="13" spans="1:13">
      <c r="A13" s="9" t="s">
        <v>41</v>
      </c>
      <c r="B13" s="9" t="s">
        <v>42</v>
      </c>
      <c r="C13" s="9" t="s">
        <v>27</v>
      </c>
      <c r="D13" s="9" t="s">
        <v>20</v>
      </c>
      <c r="E13" s="9" t="s">
        <v>21</v>
      </c>
      <c r="F13" s="9">
        <v>84</v>
      </c>
      <c r="G13" s="9" t="s">
        <v>12</v>
      </c>
      <c r="I13" s="11" t="s">
        <v>43</v>
      </c>
      <c r="J13" s="11"/>
      <c r="K13" s="11"/>
      <c r="L13" s="11"/>
      <c r="M13" s="11"/>
    </row>
    <row r="14" spans="1:13">
      <c r="A14" s="9" t="s">
        <v>44</v>
      </c>
      <c r="B14" s="9" t="s">
        <v>45</v>
      </c>
      <c r="C14" s="9" t="s">
        <v>9</v>
      </c>
      <c r="D14" s="9" t="s">
        <v>10</v>
      </c>
      <c r="E14" s="9" t="s">
        <v>28</v>
      </c>
      <c r="F14" s="9">
        <v>89</v>
      </c>
      <c r="G14" s="9" t="s">
        <v>12</v>
      </c>
    </row>
    <row r="15" spans="1:13">
      <c r="A15" s="9" t="s">
        <v>46</v>
      </c>
      <c r="B15" s="9" t="s">
        <v>47</v>
      </c>
      <c r="C15" s="9" t="s">
        <v>27</v>
      </c>
      <c r="D15" s="9" t="s">
        <v>15</v>
      </c>
      <c r="E15" s="9" t="s">
        <v>16</v>
      </c>
      <c r="F15" s="9">
        <v>72</v>
      </c>
      <c r="G15" s="9" t="s">
        <v>17</v>
      </c>
      <c r="I15" s="5" t="s">
        <v>48</v>
      </c>
      <c r="J15" s="3">
        <f>_xlfn.XMATCH("An*",B2:B16,2)</f>
        <v>4</v>
      </c>
    </row>
    <row r="16" spans="1:13">
      <c r="A16" s="9" t="s">
        <v>49</v>
      </c>
      <c r="B16" s="9" t="s">
        <v>50</v>
      </c>
      <c r="C16" s="9" t="s">
        <v>9</v>
      </c>
      <c r="D16" s="9" t="s">
        <v>20</v>
      </c>
      <c r="E16" s="9" t="s">
        <v>11</v>
      </c>
      <c r="F16" s="9">
        <v>96</v>
      </c>
      <c r="G16" s="9" t="s">
        <v>22</v>
      </c>
    </row>
  </sheetData>
  <mergeCells count="1">
    <mergeCell ref="I13:M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selection activeCell="J20" sqref="J20"/>
    </sheetView>
  </sheetViews>
  <sheetFormatPr defaultRowHeight="14.25"/>
  <cols>
    <col min="1" max="1" width="12.28515625" bestFit="1"/>
    <col min="2" max="2" width="15.42578125" bestFit="1"/>
    <col min="3" max="3" width="11.28515625" bestFit="1"/>
    <col min="4" max="4" width="18.28515625" bestFit="1"/>
    <col min="5" max="5" width="11.42578125" bestFit="1"/>
    <col min="6" max="6" width="16" bestFit="1"/>
    <col min="7" max="7" width="6" bestFit="1"/>
    <col min="8" max="8" width="18.42578125" bestFit="1"/>
    <col min="10" max="10" width="12.28515625" customWidth="1"/>
    <col min="11" max="11" width="17.42578125" customWidth="1"/>
  </cols>
  <sheetData>
    <row r="1" spans="1:15">
      <c r="A1" s="1" t="s">
        <v>51</v>
      </c>
      <c r="B1" s="1" t="s">
        <v>52</v>
      </c>
      <c r="C1" s="1" t="s">
        <v>53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</row>
    <row r="2" spans="1:15">
      <c r="A2" s="2" t="s">
        <v>58</v>
      </c>
      <c r="B2" s="2" t="s">
        <v>59</v>
      </c>
      <c r="C2" s="2" t="s">
        <v>60</v>
      </c>
      <c r="D2" s="2" t="s">
        <v>61</v>
      </c>
      <c r="E2" s="2" t="s">
        <v>11</v>
      </c>
      <c r="F2" s="2">
        <v>2</v>
      </c>
      <c r="G2" s="2">
        <v>45000</v>
      </c>
      <c r="H2" s="2">
        <v>4</v>
      </c>
      <c r="J2" s="10" t="s">
        <v>62</v>
      </c>
      <c r="K2" s="10"/>
      <c r="L2" s="10"/>
      <c r="M2" s="10"/>
      <c r="N2" s="10"/>
    </row>
    <row r="3" spans="1:15">
      <c r="A3" s="2" t="s">
        <v>63</v>
      </c>
      <c r="B3" s="2" t="s">
        <v>64</v>
      </c>
      <c r="C3" s="2" t="s">
        <v>65</v>
      </c>
      <c r="D3" s="2" t="s">
        <v>66</v>
      </c>
      <c r="E3" s="2" t="s">
        <v>16</v>
      </c>
      <c r="F3" s="2">
        <v>3</v>
      </c>
      <c r="G3" s="2">
        <v>40000</v>
      </c>
      <c r="H3" s="2">
        <v>3</v>
      </c>
    </row>
    <row r="4" spans="1:15">
      <c r="A4" s="2" t="s">
        <v>67</v>
      </c>
      <c r="B4" s="2" t="s">
        <v>68</v>
      </c>
      <c r="C4" s="2" t="s">
        <v>60</v>
      </c>
      <c r="D4" s="2" t="s">
        <v>69</v>
      </c>
      <c r="E4" s="2" t="s">
        <v>28</v>
      </c>
      <c r="F4" s="2">
        <v>5</v>
      </c>
      <c r="G4" s="2">
        <v>65000</v>
      </c>
      <c r="H4" s="2">
        <v>5</v>
      </c>
      <c r="J4" s="5" t="s">
        <v>56</v>
      </c>
      <c r="K4" s="3">
        <f>_xlfn.XLOOKUP(C4&amp;E5,C2:C26&amp;E2:E26,G2:G26,"Not Found")</f>
        <v>45000</v>
      </c>
    </row>
    <row r="5" spans="1:15">
      <c r="A5" s="2" t="s">
        <v>70</v>
      </c>
      <c r="B5" s="2" t="s">
        <v>71</v>
      </c>
      <c r="C5" s="2" t="s">
        <v>72</v>
      </c>
      <c r="D5" s="2" t="s">
        <v>73</v>
      </c>
      <c r="E5" s="2" t="s">
        <v>11</v>
      </c>
      <c r="F5" s="2">
        <v>4</v>
      </c>
      <c r="G5" s="2">
        <v>50000</v>
      </c>
      <c r="H5" s="2">
        <v>4</v>
      </c>
    </row>
    <row r="6" spans="1:15">
      <c r="A6" s="2" t="s">
        <v>74</v>
      </c>
      <c r="B6" s="2" t="s">
        <v>75</v>
      </c>
      <c r="C6" s="2" t="s">
        <v>76</v>
      </c>
      <c r="D6" s="2" t="s">
        <v>77</v>
      </c>
      <c r="E6" s="2" t="s">
        <v>16</v>
      </c>
      <c r="F6" s="2">
        <v>6</v>
      </c>
      <c r="G6" s="2">
        <v>70000</v>
      </c>
      <c r="H6" s="2">
        <v>5</v>
      </c>
      <c r="J6" s="10" t="s">
        <v>78</v>
      </c>
      <c r="K6" s="10"/>
      <c r="L6" s="10"/>
      <c r="M6" s="10"/>
      <c r="N6" s="10"/>
    </row>
    <row r="7" spans="1:15">
      <c r="A7" s="2" t="s">
        <v>79</v>
      </c>
      <c r="B7" s="2" t="s">
        <v>80</v>
      </c>
      <c r="C7" s="2" t="s">
        <v>60</v>
      </c>
      <c r="D7" s="2" t="s">
        <v>61</v>
      </c>
      <c r="E7" s="2" t="s">
        <v>21</v>
      </c>
      <c r="F7" s="2">
        <v>3</v>
      </c>
      <c r="G7" s="2">
        <v>52000</v>
      </c>
      <c r="H7" s="2">
        <v>4</v>
      </c>
    </row>
    <row r="8" spans="1:15">
      <c r="A8" s="2" t="s">
        <v>81</v>
      </c>
      <c r="B8" s="2" t="s">
        <v>82</v>
      </c>
      <c r="C8" s="2" t="s">
        <v>83</v>
      </c>
      <c r="D8" s="2" t="s">
        <v>84</v>
      </c>
      <c r="E8" s="2" t="s">
        <v>11</v>
      </c>
      <c r="F8" s="2">
        <v>2</v>
      </c>
      <c r="G8" s="2">
        <v>42000</v>
      </c>
      <c r="H8" s="2">
        <v>3</v>
      </c>
      <c r="J8" s="5" t="s">
        <v>53</v>
      </c>
      <c r="K8" s="4" t="str">
        <f>_xlfn.XLOOKUP(B3&amp;E3,B2:B26&amp;E2:E26,C2:C26)</f>
        <v>HR</v>
      </c>
    </row>
    <row r="9" spans="1:15">
      <c r="A9" s="2" t="s">
        <v>85</v>
      </c>
      <c r="B9" s="2" t="s">
        <v>86</v>
      </c>
      <c r="C9" s="2" t="s">
        <v>65</v>
      </c>
      <c r="D9" s="2" t="s">
        <v>87</v>
      </c>
      <c r="E9" s="2" t="s">
        <v>88</v>
      </c>
      <c r="F9" s="2">
        <v>5</v>
      </c>
      <c r="G9" s="2">
        <v>58000</v>
      </c>
      <c r="H9" s="2">
        <v>4</v>
      </c>
    </row>
    <row r="10" spans="1:15">
      <c r="A10" s="2" t="s">
        <v>89</v>
      </c>
      <c r="B10" s="2" t="s">
        <v>90</v>
      </c>
      <c r="C10" s="2" t="s">
        <v>60</v>
      </c>
      <c r="D10" s="2" t="s">
        <v>91</v>
      </c>
      <c r="E10" s="2" t="s">
        <v>28</v>
      </c>
      <c r="F10" s="2">
        <v>7</v>
      </c>
      <c r="G10" s="2">
        <v>85000</v>
      </c>
      <c r="H10" s="2">
        <v>5</v>
      </c>
    </row>
    <row r="11" spans="1:15">
      <c r="A11" s="2" t="s">
        <v>92</v>
      </c>
      <c r="B11" s="2" t="s">
        <v>93</v>
      </c>
      <c r="C11" s="2" t="s">
        <v>72</v>
      </c>
      <c r="D11" s="2" t="s">
        <v>94</v>
      </c>
      <c r="E11" s="2" t="s">
        <v>16</v>
      </c>
      <c r="F11" s="2">
        <v>8</v>
      </c>
      <c r="G11" s="2">
        <v>90000</v>
      </c>
      <c r="H11" s="2">
        <v>5</v>
      </c>
      <c r="J11" s="10" t="s">
        <v>95</v>
      </c>
      <c r="K11" s="10"/>
      <c r="L11" s="10"/>
      <c r="M11" s="10"/>
      <c r="N11" s="10"/>
      <c r="O11" s="10"/>
    </row>
    <row r="12" spans="1:15">
      <c r="A12" s="2" t="s">
        <v>96</v>
      </c>
      <c r="B12" s="2" t="s">
        <v>97</v>
      </c>
      <c r="C12" s="2" t="s">
        <v>76</v>
      </c>
      <c r="D12" s="2" t="s">
        <v>98</v>
      </c>
      <c r="E12" s="2" t="s">
        <v>11</v>
      </c>
      <c r="F12" s="2">
        <v>3</v>
      </c>
      <c r="G12" s="2">
        <v>48000</v>
      </c>
      <c r="H12" s="2">
        <v>3</v>
      </c>
    </row>
    <row r="13" spans="1:15">
      <c r="A13" s="2" t="s">
        <v>99</v>
      </c>
      <c r="B13" s="2" t="s">
        <v>100</v>
      </c>
      <c r="C13" s="2" t="s">
        <v>60</v>
      </c>
      <c r="D13" s="2" t="s">
        <v>101</v>
      </c>
      <c r="E13" s="2" t="s">
        <v>21</v>
      </c>
      <c r="F13" s="2">
        <v>4</v>
      </c>
      <c r="G13" s="2">
        <v>60000</v>
      </c>
      <c r="H13" s="2">
        <v>4</v>
      </c>
      <c r="J13" s="5" t="s">
        <v>102</v>
      </c>
      <c r="K13" s="4" t="str">
        <f>_xlfn.XLOOKUP(C12&amp;F6,C:C&amp;F:F,B:B)</f>
        <v>Rohit Kumar</v>
      </c>
    </row>
    <row r="14" spans="1:15">
      <c r="A14" s="2" t="s">
        <v>103</v>
      </c>
      <c r="B14" s="2" t="s">
        <v>104</v>
      </c>
      <c r="C14" s="2" t="s">
        <v>83</v>
      </c>
      <c r="D14" s="2" t="s">
        <v>105</v>
      </c>
      <c r="E14" s="2" t="s">
        <v>16</v>
      </c>
      <c r="F14" s="2">
        <v>5</v>
      </c>
      <c r="G14" s="2">
        <v>62000</v>
      </c>
      <c r="H14" s="2">
        <v>4</v>
      </c>
    </row>
    <row r="15" spans="1:15">
      <c r="A15" s="2" t="s">
        <v>106</v>
      </c>
      <c r="B15" s="2" t="s">
        <v>107</v>
      </c>
      <c r="C15" s="2" t="s">
        <v>65</v>
      </c>
      <c r="D15" s="2" t="s">
        <v>108</v>
      </c>
      <c r="E15" s="2" t="s">
        <v>109</v>
      </c>
      <c r="F15" s="2">
        <v>9</v>
      </c>
      <c r="G15" s="2">
        <v>95000</v>
      </c>
      <c r="H15" s="2">
        <v>5</v>
      </c>
    </row>
    <row r="16" spans="1:15">
      <c r="A16" s="2" t="s">
        <v>110</v>
      </c>
      <c r="B16" s="2" t="s">
        <v>111</v>
      </c>
      <c r="C16" s="2" t="s">
        <v>60</v>
      </c>
      <c r="D16" s="2" t="s">
        <v>112</v>
      </c>
      <c r="E16" s="2" t="s">
        <v>28</v>
      </c>
      <c r="F16" s="2">
        <v>6</v>
      </c>
      <c r="G16" s="2">
        <v>80000</v>
      </c>
      <c r="H16" s="2">
        <v>5</v>
      </c>
    </row>
    <row r="17" spans="1:8">
      <c r="A17" s="2" t="s">
        <v>113</v>
      </c>
      <c r="B17" s="2" t="s">
        <v>114</v>
      </c>
      <c r="C17" s="2" t="s">
        <v>72</v>
      </c>
      <c r="D17" s="2" t="s">
        <v>73</v>
      </c>
      <c r="E17" s="2" t="s">
        <v>11</v>
      </c>
      <c r="F17" s="2">
        <v>2</v>
      </c>
      <c r="G17" s="2">
        <v>43000</v>
      </c>
      <c r="H17" s="2">
        <v>3</v>
      </c>
    </row>
    <row r="18" spans="1:8">
      <c r="A18" s="2" t="s">
        <v>115</v>
      </c>
      <c r="B18" s="2" t="s">
        <v>116</v>
      </c>
      <c r="C18" s="2" t="s">
        <v>76</v>
      </c>
      <c r="D18" s="2" t="s">
        <v>77</v>
      </c>
      <c r="E18" s="2" t="s">
        <v>21</v>
      </c>
      <c r="F18" s="2">
        <v>4</v>
      </c>
      <c r="G18" s="2">
        <v>55000</v>
      </c>
      <c r="H18" s="2">
        <v>4</v>
      </c>
    </row>
    <row r="19" spans="1:8">
      <c r="A19" s="2" t="s">
        <v>117</v>
      </c>
      <c r="B19" s="2" t="s">
        <v>118</v>
      </c>
      <c r="C19" s="2" t="s">
        <v>60</v>
      </c>
      <c r="D19" s="2" t="s">
        <v>61</v>
      </c>
      <c r="E19" s="2" t="s">
        <v>16</v>
      </c>
      <c r="F19" s="2">
        <v>3</v>
      </c>
      <c r="G19" s="2">
        <v>51000</v>
      </c>
      <c r="H19" s="2">
        <v>4</v>
      </c>
    </row>
    <row r="20" spans="1:8">
      <c r="A20" s="2" t="s">
        <v>119</v>
      </c>
      <c r="B20" s="2" t="s">
        <v>120</v>
      </c>
      <c r="C20" s="2" t="s">
        <v>83</v>
      </c>
      <c r="D20" s="2" t="s">
        <v>121</v>
      </c>
      <c r="E20" s="2" t="s">
        <v>11</v>
      </c>
      <c r="F20" s="2">
        <v>4</v>
      </c>
      <c r="G20" s="2">
        <v>57000</v>
      </c>
      <c r="H20" s="2">
        <v>4</v>
      </c>
    </row>
    <row r="21" spans="1:8">
      <c r="A21" s="2" t="s">
        <v>122</v>
      </c>
      <c r="B21" s="2" t="s">
        <v>123</v>
      </c>
      <c r="C21" s="2" t="s">
        <v>65</v>
      </c>
      <c r="D21" s="2" t="s">
        <v>66</v>
      </c>
      <c r="E21" s="2" t="s">
        <v>124</v>
      </c>
      <c r="F21" s="2">
        <v>2</v>
      </c>
      <c r="G21" s="2">
        <v>39000</v>
      </c>
      <c r="H21" s="2">
        <v>3</v>
      </c>
    </row>
    <row r="22" spans="1:8">
      <c r="A22" s="2" t="s">
        <v>125</v>
      </c>
      <c r="B22" s="2" t="s">
        <v>126</v>
      </c>
      <c r="C22" s="2" t="s">
        <v>60</v>
      </c>
      <c r="D22" s="2" t="s">
        <v>91</v>
      </c>
      <c r="E22" s="2" t="s">
        <v>21</v>
      </c>
      <c r="F22" s="2">
        <v>5</v>
      </c>
      <c r="G22" s="2">
        <v>72000</v>
      </c>
      <c r="H22" s="2">
        <v>4</v>
      </c>
    </row>
    <row r="23" spans="1:8">
      <c r="A23" s="2" t="s">
        <v>127</v>
      </c>
      <c r="B23" s="2" t="s">
        <v>128</v>
      </c>
      <c r="C23" s="2" t="s">
        <v>72</v>
      </c>
      <c r="D23" s="2" t="s">
        <v>73</v>
      </c>
      <c r="E23" s="2" t="s">
        <v>109</v>
      </c>
      <c r="F23" s="2">
        <v>3</v>
      </c>
      <c r="G23" s="2">
        <v>47000</v>
      </c>
      <c r="H23" s="2">
        <v>3</v>
      </c>
    </row>
    <row r="24" spans="1:8">
      <c r="A24" s="2" t="s">
        <v>129</v>
      </c>
      <c r="B24" s="2" t="s">
        <v>130</v>
      </c>
      <c r="C24" s="2" t="s">
        <v>76</v>
      </c>
      <c r="D24" s="2" t="s">
        <v>98</v>
      </c>
      <c r="E24" s="2" t="s">
        <v>16</v>
      </c>
      <c r="F24" s="2">
        <v>6</v>
      </c>
      <c r="G24" s="2">
        <v>68000</v>
      </c>
      <c r="H24" s="2">
        <v>5</v>
      </c>
    </row>
    <row r="25" spans="1:8">
      <c r="A25" s="2" t="s">
        <v>131</v>
      </c>
      <c r="B25" s="2" t="s">
        <v>132</v>
      </c>
      <c r="C25" s="2" t="s">
        <v>60</v>
      </c>
      <c r="D25" s="2" t="s">
        <v>69</v>
      </c>
      <c r="E25" s="2" t="s">
        <v>11</v>
      </c>
      <c r="F25" s="2">
        <v>7</v>
      </c>
      <c r="G25" s="2">
        <v>88000</v>
      </c>
      <c r="H25" s="2">
        <v>5</v>
      </c>
    </row>
    <row r="26" spans="1:8">
      <c r="A26" s="2" t="s">
        <v>133</v>
      </c>
      <c r="B26" s="2" t="s">
        <v>134</v>
      </c>
      <c r="C26" s="2" t="s">
        <v>83</v>
      </c>
      <c r="D26" s="2" t="s">
        <v>135</v>
      </c>
      <c r="E26" s="2" t="s">
        <v>28</v>
      </c>
      <c r="F26" s="2">
        <v>8</v>
      </c>
      <c r="G26" s="2">
        <v>92000</v>
      </c>
      <c r="H26" s="2">
        <v>5</v>
      </c>
    </row>
  </sheetData>
  <mergeCells count="3">
    <mergeCell ref="J2:N2"/>
    <mergeCell ref="J6:N6"/>
    <mergeCell ref="J11:O11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selection activeCell="J2" sqref="J2:N4"/>
    </sheetView>
  </sheetViews>
  <sheetFormatPr defaultRowHeight="15"/>
  <cols>
    <col min="1" max="1" width="9.140625" bestFit="1" customWidth="1"/>
    <col min="2" max="2" width="16" bestFit="1" customWidth="1"/>
    <col min="3" max="3" width="9.42578125" bestFit="1" customWidth="1"/>
    <col min="4" max="4" width="10.5703125" bestFit="1" customWidth="1"/>
    <col min="5" max="5" width="10" bestFit="1" customWidth="1"/>
    <col min="6" max="6" width="11.5703125" bestFit="1" customWidth="1"/>
    <col min="7" max="7" width="8.140625" bestFit="1" customWidth="1"/>
    <col min="10" max="10" width="17.7109375" customWidth="1"/>
    <col min="11" max="11" width="15.7109375" customWidth="1"/>
  </cols>
  <sheetData>
    <row r="1" spans="1:14">
      <c r="A1" s="1" t="s">
        <v>136</v>
      </c>
      <c r="B1" s="1" t="s">
        <v>137</v>
      </c>
      <c r="C1" s="1" t="s">
        <v>138</v>
      </c>
      <c r="D1" s="1" t="s">
        <v>139</v>
      </c>
      <c r="E1" s="1" t="s">
        <v>4</v>
      </c>
      <c r="F1" s="1" t="s">
        <v>140</v>
      </c>
      <c r="G1" s="1" t="s">
        <v>141</v>
      </c>
    </row>
    <row r="2" spans="1:14">
      <c r="A2" s="2" t="s">
        <v>142</v>
      </c>
      <c r="B2" s="2" t="s">
        <v>143</v>
      </c>
      <c r="C2" s="2" t="s">
        <v>144</v>
      </c>
      <c r="D2" s="2" t="s">
        <v>145</v>
      </c>
      <c r="E2" s="2" t="s">
        <v>11</v>
      </c>
      <c r="F2" s="2" t="s">
        <v>146</v>
      </c>
      <c r="G2" s="2">
        <v>65000</v>
      </c>
      <c r="J2" s="11" t="s">
        <v>147</v>
      </c>
      <c r="K2" s="11"/>
      <c r="L2" s="11"/>
      <c r="M2" s="11"/>
      <c r="N2" s="11"/>
    </row>
    <row r="3" spans="1:14">
      <c r="A3" s="2" t="s">
        <v>148</v>
      </c>
      <c r="B3" s="2" t="s">
        <v>149</v>
      </c>
      <c r="C3" s="2" t="s">
        <v>150</v>
      </c>
      <c r="D3" s="2" t="s">
        <v>145</v>
      </c>
      <c r="E3" s="2" t="s">
        <v>16</v>
      </c>
      <c r="F3" s="2" t="s">
        <v>151</v>
      </c>
      <c r="G3" s="2">
        <v>1500</v>
      </c>
    </row>
    <row r="4" spans="1:14">
      <c r="A4" s="2" t="s">
        <v>152</v>
      </c>
      <c r="B4" s="2" t="s">
        <v>153</v>
      </c>
      <c r="C4" s="2" t="s">
        <v>154</v>
      </c>
      <c r="D4" s="2" t="s">
        <v>145</v>
      </c>
      <c r="E4" s="2" t="s">
        <v>11</v>
      </c>
      <c r="F4" s="2" t="s">
        <v>143</v>
      </c>
      <c r="G4" s="2">
        <v>2500</v>
      </c>
      <c r="J4" s="5" t="s">
        <v>137</v>
      </c>
      <c r="K4" s="3" t="str">
        <f>_xlfn.XLOOKUP(C15,C2:C16,B2:B16,,0,-1)</f>
        <v>Simran</v>
      </c>
    </row>
    <row r="5" spans="1:14">
      <c r="A5" s="2" t="s">
        <v>155</v>
      </c>
      <c r="B5" s="2" t="s">
        <v>156</v>
      </c>
      <c r="C5" s="2" t="s">
        <v>157</v>
      </c>
      <c r="D5" s="2" t="s">
        <v>145</v>
      </c>
      <c r="E5" s="2" t="s">
        <v>21</v>
      </c>
      <c r="F5" s="2" t="s">
        <v>146</v>
      </c>
      <c r="G5" s="2">
        <v>18000</v>
      </c>
    </row>
    <row r="6" spans="1:14">
      <c r="A6" s="2" t="s">
        <v>158</v>
      </c>
      <c r="B6" s="2" t="s">
        <v>159</v>
      </c>
      <c r="C6" s="2" t="s">
        <v>144</v>
      </c>
      <c r="D6" s="2" t="s">
        <v>145</v>
      </c>
      <c r="E6" s="2" t="s">
        <v>16</v>
      </c>
      <c r="F6" s="2" t="s">
        <v>151</v>
      </c>
      <c r="G6" s="2">
        <v>72000</v>
      </c>
    </row>
    <row r="7" spans="1:14">
      <c r="A7" s="2" t="s">
        <v>160</v>
      </c>
      <c r="B7" s="2" t="s">
        <v>161</v>
      </c>
      <c r="C7" s="2" t="s">
        <v>162</v>
      </c>
      <c r="D7" s="2" t="s">
        <v>145</v>
      </c>
      <c r="E7" s="2" t="s">
        <v>11</v>
      </c>
      <c r="F7" s="2" t="s">
        <v>143</v>
      </c>
      <c r="G7" s="2">
        <v>15000</v>
      </c>
      <c r="J7" s="11" t="s">
        <v>163</v>
      </c>
      <c r="K7" s="11"/>
      <c r="L7" s="11"/>
      <c r="M7" s="11"/>
      <c r="N7" s="11"/>
    </row>
    <row r="8" spans="1:14">
      <c r="A8" s="2" t="s">
        <v>164</v>
      </c>
      <c r="B8" s="2" t="s">
        <v>32</v>
      </c>
      <c r="C8" s="2" t="s">
        <v>150</v>
      </c>
      <c r="D8" s="2" t="s">
        <v>145</v>
      </c>
      <c r="E8" s="2" t="s">
        <v>28</v>
      </c>
      <c r="F8" s="2" t="s">
        <v>146</v>
      </c>
      <c r="G8" s="2">
        <v>1800</v>
      </c>
    </row>
    <row r="9" spans="1:14">
      <c r="A9" s="2" t="s">
        <v>165</v>
      </c>
      <c r="B9" s="2" t="s">
        <v>151</v>
      </c>
      <c r="C9" s="2" t="s">
        <v>144</v>
      </c>
      <c r="D9" s="2" t="s">
        <v>145</v>
      </c>
      <c r="E9" s="2" t="s">
        <v>21</v>
      </c>
      <c r="F9" s="2" t="s">
        <v>143</v>
      </c>
      <c r="G9" s="2">
        <v>68000</v>
      </c>
      <c r="J9" s="5" t="s">
        <v>137</v>
      </c>
      <c r="K9" s="3" t="str">
        <f>_xlfn.XLOOKUP(F2,F2:F16,B2:B16,,0,-1)</f>
        <v>Deepak</v>
      </c>
    </row>
    <row r="10" spans="1:14">
      <c r="A10" s="2" t="s">
        <v>166</v>
      </c>
      <c r="B10" s="2" t="s">
        <v>167</v>
      </c>
      <c r="C10" s="2" t="s">
        <v>154</v>
      </c>
      <c r="D10" s="2" t="s">
        <v>145</v>
      </c>
      <c r="E10" s="2" t="s">
        <v>11</v>
      </c>
      <c r="F10" s="2" t="s">
        <v>151</v>
      </c>
      <c r="G10" s="2">
        <v>3000</v>
      </c>
    </row>
    <row r="11" spans="1:14">
      <c r="A11" s="2" t="s">
        <v>168</v>
      </c>
      <c r="B11" s="2" t="s">
        <v>169</v>
      </c>
      <c r="C11" s="2" t="s">
        <v>157</v>
      </c>
      <c r="D11" s="2" t="s">
        <v>145</v>
      </c>
      <c r="E11" s="2" t="s">
        <v>16</v>
      </c>
      <c r="F11" s="2" t="s">
        <v>146</v>
      </c>
      <c r="G11" s="2">
        <v>21000</v>
      </c>
    </row>
    <row r="12" spans="1:14">
      <c r="A12" s="2" t="s">
        <v>170</v>
      </c>
      <c r="B12" s="2" t="s">
        <v>171</v>
      </c>
      <c r="C12" s="2" t="s">
        <v>144</v>
      </c>
      <c r="D12" s="2" t="s">
        <v>145</v>
      </c>
      <c r="E12" s="2" t="s">
        <v>11</v>
      </c>
      <c r="F12" s="2" t="s">
        <v>143</v>
      </c>
      <c r="G12" s="2">
        <v>75000</v>
      </c>
      <c r="J12" s="11" t="s">
        <v>172</v>
      </c>
      <c r="K12" s="11"/>
      <c r="L12" s="11"/>
      <c r="M12" s="11"/>
      <c r="N12" s="11"/>
    </row>
    <row r="13" spans="1:14">
      <c r="A13" s="2" t="s">
        <v>173</v>
      </c>
      <c r="B13" s="2" t="s">
        <v>174</v>
      </c>
      <c r="C13" s="2" t="s">
        <v>162</v>
      </c>
      <c r="D13" s="2" t="s">
        <v>145</v>
      </c>
      <c r="E13" s="2" t="s">
        <v>21</v>
      </c>
      <c r="F13" s="2" t="s">
        <v>151</v>
      </c>
      <c r="G13" s="2">
        <v>17000</v>
      </c>
    </row>
    <row r="14" spans="1:14">
      <c r="A14" s="2" t="s">
        <v>175</v>
      </c>
      <c r="B14" s="2" t="s">
        <v>176</v>
      </c>
      <c r="C14" s="2" t="s">
        <v>150</v>
      </c>
      <c r="D14" s="2" t="s">
        <v>145</v>
      </c>
      <c r="E14" s="2" t="s">
        <v>11</v>
      </c>
      <c r="F14" s="2" t="s">
        <v>146</v>
      </c>
      <c r="G14" s="2">
        <v>2200</v>
      </c>
      <c r="J14" s="6" t="s">
        <v>137</v>
      </c>
      <c r="K14" s="7" t="str">
        <f>_xlfn.XLOOKUP(F6,F6:F20,B6:B20,,0,-1)</f>
        <v>Raj</v>
      </c>
    </row>
    <row r="15" spans="1:14">
      <c r="A15" s="2" t="s">
        <v>177</v>
      </c>
      <c r="B15" s="2" t="s">
        <v>178</v>
      </c>
      <c r="C15" s="2" t="s">
        <v>144</v>
      </c>
      <c r="D15" s="2" t="s">
        <v>145</v>
      </c>
      <c r="E15" s="2" t="s">
        <v>16</v>
      </c>
      <c r="F15" s="2" t="s">
        <v>143</v>
      </c>
      <c r="G15" s="2">
        <v>70000</v>
      </c>
    </row>
    <row r="16" spans="1:14">
      <c r="A16" s="2" t="s">
        <v>179</v>
      </c>
      <c r="B16" s="2" t="s">
        <v>180</v>
      </c>
      <c r="C16" s="2" t="s">
        <v>157</v>
      </c>
      <c r="D16" s="2" t="s">
        <v>145</v>
      </c>
      <c r="E16" s="2" t="s">
        <v>11</v>
      </c>
      <c r="F16" s="2" t="s">
        <v>151</v>
      </c>
      <c r="G16" s="2">
        <v>19500</v>
      </c>
      <c r="J16" s="11" t="s">
        <v>181</v>
      </c>
      <c r="K16" s="11"/>
      <c r="L16" s="11"/>
      <c r="M16" s="11"/>
      <c r="N16" s="11"/>
    </row>
    <row r="18" spans="10:11">
      <c r="J18" s="5" t="s">
        <v>137</v>
      </c>
      <c r="K18" s="3" t="str" cm="1">
        <f t="array" ref="K18">_xlfn.XLOOKUP(1,(C2:C16="Laptop")*(E2:E16="Delhi"),B2:B16,"Not Found",0,-1)</f>
        <v>Karan</v>
      </c>
    </row>
  </sheetData>
  <mergeCells count="4">
    <mergeCell ref="J2:N2"/>
    <mergeCell ref="J7:N7"/>
    <mergeCell ref="J12:N12"/>
    <mergeCell ref="J16:N16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2026-09-13T14:56:32Z</dcterms:created>
  <dcterms:modified xsi:type="dcterms:W3CDTF">2026-09-14T18:07:57Z</dcterms:modified>
  <cp:category/>
  <cp:contentStatus/>
</cp:coreProperties>
</file>