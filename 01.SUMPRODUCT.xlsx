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ray Multiplication" sheetId="1" state="visible" r:id="rId2"/>
    <sheet name="Conditional Calculations" sheetId="2" state="visible" r:id="rId3"/>
    <sheet name="Revenue calculations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<sst xmlns="http://schemas.openxmlformats.org/spreadsheetml/2006/main" count="43" uniqueCount="43">
  <si>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Product Sales</t>
  </si>
  <si>
    <t>Product</t>
  </si>
  <si>
    <t>Price</t>
  </si>
  <si>
    <t>Quantity</t>
  </si>
  <si>
    <t>Apples</t>
  </si>
  <si>
    <t>₹2.00</t>
  </si>
  <si>
    <t>Oranges</t>
  </si>
  <si>
    <t>₹3.00</t>
  </si>
  <si>
    <t>Bananas</t>
  </si>
  <si>
    <t>₹1.00</t>
  </si>
  <si>
    <t>Pears</t>
  </si>
  <si>
    <t>Total</t>
  </si>
  <si>
    <t>ID</t>
  </si>
  <si>
    <t>Country</t>
  </si>
  <si>
    <t>Salesperson</t>
  </si>
  <si>
    <t xml:space="preserve">Charlotte Harris</t>
  </si>
  <si>
    <t xml:space="preserve">Orders in South America(Brazil&amp; Venezuela)</t>
  </si>
  <si>
    <t xml:space="preserve">Total Sales in South America</t>
  </si>
  <si>
    <t>Austria</t>
  </si>
  <si>
    <t xml:space="preserve">Ben Jamieson</t>
  </si>
  <si>
    <t>Venezuela</t>
  </si>
  <si>
    <t>Brazil</t>
  </si>
  <si>
    <t xml:space="preserve">Bill Buchanan</t>
  </si>
  <si>
    <t>Mexico</t>
  </si>
  <si>
    <t>Germany</t>
  </si>
  <si>
    <t xml:space="preserve">Sally Fourways</t>
  </si>
  <si>
    <t xml:space="preserve">Order ID</t>
  </si>
  <si>
    <t>Region</t>
  </si>
  <si>
    <t xml:space="preserve">Unit Price</t>
  </si>
  <si>
    <t>Laptop</t>
  </si>
  <si>
    <t>North</t>
  </si>
  <si>
    <t>John</t>
  </si>
  <si>
    <t>Mouse</t>
  </si>
  <si>
    <t>South</t>
  </si>
  <si>
    <t>Sarah</t>
  </si>
  <si>
    <t>Keyboard</t>
  </si>
  <si>
    <t>East</t>
  </si>
  <si>
    <t>Mike</t>
  </si>
  <si>
    <t>Monitor</t>
  </si>
  <si>
    <t>West</t>
  </si>
  <si>
    <t xml:space="preserve">Calculate the revenue from all orders.</t>
  </si>
  <si>
    <t xml:space="preserve">Calculate the total revenue from Laptops.</t>
  </si>
  <si>
    <t xml:space="preserve">Calculate the total revenue from Mike + Monitor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</si>
</sst>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₹-4009]#,##0.00;[Red]&quot;-&quot;[$₹-4009]#,##0.00"/>
    <numFmt numFmtId="165" formatCode="[$-409]General"/>
  </numFmts>
  <fonts count="13">
    <font>
      <sz val="10.000000"/>
      <color theme="1"/>
      <name val="Liberation Sans"/>
    </font>
    <font>
      <b/>
      <sz val="10.000000"/>
      <color theme="1"/>
      <name val="Liberation Sans"/>
    </font>
    <font>
      <b/>
      <sz val="10.000000"/>
      <color indexed="65"/>
      <name val="Liberation Sans"/>
    </font>
    <font>
      <sz val="10.000000"/>
      <color rgb="FFCC0000"/>
      <name val="Liberation Sans"/>
    </font>
    <font>
      <i/>
      <sz val="10.000000"/>
      <color indexed="23"/>
      <name val="Liberation Sans"/>
    </font>
    <font>
      <sz val="10.000000"/>
      <color rgb="FF006600"/>
      <name val="Liberation Sans"/>
    </font>
    <font>
      <b/>
      <sz val="24.000000"/>
      <color theme="1"/>
      <name val="Liberation Sans"/>
    </font>
    <font>
      <b/>
      <sz val="18.000000"/>
      <color theme="1"/>
      <name val="Liberation Sans"/>
    </font>
    <font>
      <b/>
      <sz val="12.000000"/>
      <color theme="1"/>
      <name val="Liberation Sans"/>
    </font>
    <font>
      <u/>
      <sz val="10.000000"/>
      <color rgb="FF0000EE"/>
      <name val="Liberation Sans"/>
    </font>
    <font>
      <sz val="10.000000"/>
      <color rgb="FF996600"/>
      <name val="Liberation Sans"/>
    </font>
    <font>
      <sz val="10.000000"/>
      <color indexed="63"/>
      <name val="Liberation Sans"/>
    </font>
    <font>
      <b/>
      <i/>
      <u/>
      <sz val="10.000000"/>
      <color theme="1"/>
      <name val="Liberation Sans"/>
    </font>
  </fonts>
  <fills count="15">
    <fill>
      <patternFill patternType="none"/>
    </fill>
    <fill>
      <patternFill patternType="gray125"/>
    </fill>
    <fill>
      <patternFill patternType="solid"/>
    </fill>
    <fill>
      <patternFill patternType="solid">
        <fgColor indexed="23"/>
        <bgColor indexed="23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indexed="42"/>
        <bgColor indexed="42"/>
      </patternFill>
    </fill>
    <fill>
      <patternFill patternType="solid">
        <fgColor indexed="26"/>
        <bgColor indexed="26"/>
      </patternFill>
    </fill>
    <fill>
      <patternFill patternType="solid">
        <fgColor rgb="FF729FCF"/>
      </patternFill>
    </fill>
    <fill>
      <patternFill patternType="solid">
        <fgColor rgb="FF81D41A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81D41A"/>
        <bgColor rgb="FF81D41A"/>
      </patternFill>
    </fill>
    <fill>
      <patternFill patternType="solid">
        <fgColor rgb="FF729FCF"/>
        <bgColor rgb="FF729FCF"/>
      </patternFill>
    </fill>
    <fill>
      <patternFill patternType="solid">
        <fgColor indexed="5"/>
        <bgColor indexed="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0">
    <xf fontId="0" fillId="0" borderId="0" numFmtId="0" applyNumberFormat="1" applyFont="1" applyFill="1" applyBorder="1"/>
    <xf fontId="1" fillId="0" borderId="0" numFmtId="0" applyNumberFormat="1" applyFont="1" applyFill="1" applyBorder="1"/>
    <xf fontId="2" fillId="2" borderId="0" numFmtId="0" applyNumberFormat="1" applyFont="1" applyFill="1" applyBorder="1"/>
    <xf fontId="2" fillId="3" borderId="0" numFmtId="0" applyNumberFormat="1" applyFont="1" applyFill="1" applyBorder="1"/>
    <xf fontId="1" fillId="4" borderId="0" numFmtId="0" applyNumberFormat="1" applyFont="1" applyFill="1" applyBorder="1"/>
    <xf fontId="3" fillId="5" borderId="0" numFmtId="0" applyNumberFormat="1" applyFont="1" applyFill="1" applyBorder="1"/>
    <xf fontId="0" fillId="0" borderId="0" numFmtId="0" applyNumberFormat="0" applyFont="0" applyFill="0" applyBorder="0" applyProtection="0"/>
    <xf fontId="2" fillId="6" borderId="0" numFmtId="0" applyNumberFormat="1" applyFont="1" applyFill="1" applyBorder="1"/>
    <xf fontId="4" fillId="0" borderId="0" numFmtId="0" applyNumberFormat="1" applyFont="1" applyFill="1" applyBorder="1"/>
    <xf fontId="5" fillId="7" borderId="0" numFmtId="0" applyNumberFormat="1" applyFont="1" applyFill="1" applyBorder="1"/>
    <xf fontId="6" fillId="0" borderId="0" numFmtId="0" applyNumberFormat="1" applyFont="1" applyFill="1" applyBorder="1"/>
    <xf fontId="7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10" fillId="8" borderId="0" numFmtId="0" applyNumberFormat="1" applyFont="1" applyFill="1" applyBorder="1"/>
    <xf fontId="11" fillId="8" borderId="1" numFmtId="0" applyNumberFormat="1" applyFont="1" applyFill="1" applyBorder="1"/>
    <xf fontId="12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3" fillId="0" borderId="0" numFmtId="0" applyNumberFormat="1" applyFont="1" applyFill="1" applyBorder="1"/>
  </cellStyleXfs>
  <cellXfs count="19">
    <xf fontId="0" fillId="0" borderId="0" numFmtId="0" xfId="0"/>
    <xf fontId="0" fillId="0" borderId="0" numFmtId="0" xfId="0"/>
    <xf fontId="1" fillId="9" borderId="0" numFmtId="0" xfId="0" applyFont="1" applyFill="1"/>
    <xf fontId="1" fillId="10" borderId="2" numFmtId="0" xfId="0" applyFont="1" applyFill="1" applyBorder="1"/>
    <xf fontId="0" fillId="0" borderId="2" numFmtId="0" xfId="0" applyBorder="1"/>
    <xf fontId="0" fillId="11" borderId="2" numFmtId="0" xfId="0" applyFill="1" applyBorder="1"/>
    <xf fontId="0" fillId="9" borderId="2" numFmtId="0" xfId="0" applyFill="1" applyBorder="1"/>
    <xf fontId="0" fillId="0" borderId="0" numFmtId="164" xfId="0" applyNumberFormat="1"/>
    <xf fontId="1" fillId="12" borderId="2" numFmtId="0" xfId="0" applyFont="1" applyFill="1" applyBorder="1" applyAlignment="1">
      <alignment horizontal="center"/>
    </xf>
    <xf fontId="0" fillId="0" borderId="2" numFmtId="0" xfId="0" applyBorder="1" applyAlignment="1">
      <alignment horizontal="center"/>
    </xf>
    <xf fontId="0" fillId="0" borderId="2" numFmtId="165" xfId="0" applyNumberFormat="1" applyBorder="1" applyAlignment="1">
      <alignment horizontal="center"/>
    </xf>
    <xf fontId="0" fillId="11" borderId="2" numFmtId="0" xfId="0" applyFill="1" applyBorder="1" applyAlignment="1">
      <alignment horizontal="center"/>
    </xf>
    <xf fontId="0" fillId="11" borderId="2" numFmtId="165" xfId="0" applyNumberFormat="1" applyFill="1" applyBorder="1" applyAlignment="1">
      <alignment horizontal="center"/>
    </xf>
    <xf fontId="0" fillId="12" borderId="2" numFmtId="0" xfId="0" applyFill="1" applyBorder="1"/>
    <xf fontId="0" fillId="12" borderId="2" numFmtId="0" xfId="0" applyFill="1" applyBorder="1" applyAlignment="1">
      <alignment horizontal="center"/>
    </xf>
    <xf fontId="0" fillId="13" borderId="2" numFmtId="0" xfId="0" applyFill="1" applyBorder="1"/>
    <xf fontId="0" fillId="14" borderId="3" numFmtId="0" xfId="0" applyFill="1" applyBorder="1"/>
    <xf fontId="0" fillId="14" borderId="4" numFmtId="0" xfId="0" applyFill="1" applyBorder="1"/>
    <xf fontId="0" fillId="14" borderId="5" numFmtId="0" xfId="0" applyFill="1" applyBorder="1"/>
  </cellXfs>
  <cellStyles count="20">
    <cellStyle name="Accent" xfId="1"/>
    <cellStyle name="Accent 1" xfId="2"/>
    <cellStyle name="Accent 2" xfId="3"/>
    <cellStyle name="Accent 3" xfId="4"/>
    <cellStyle name="Bad" xfId="5" builtinId="27"/>
    <cellStyle name="Default" xfId="6"/>
    <cellStyle name="Error" xfId="7"/>
    <cellStyle name="Footnote" xfId="8"/>
    <cellStyle name="Good" xfId="9" builtinId="26"/>
    <cellStyle name="Heading" xfId="10"/>
    <cellStyle name="Heading 1" xfId="11" builtinId="16"/>
    <cellStyle name="Heading 2" xfId="12" builtinId="17"/>
    <cellStyle name="Hyperlink" xfId="13"/>
    <cellStyle name="Neutral" xfId="14" builtinId="28"/>
    <cellStyle name="Normal" xfId="0" builtinId="0"/>
    <cellStyle name="Note" xfId="15" builtinId="10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177799</xdr:colOff>
      <xdr:row>2</xdr:row>
      <xdr:rowOff>19049</xdr:rowOff>
    </xdr:from>
    <xdr:to>
      <xdr:col>9</xdr:col>
      <xdr:colOff>190499</xdr:colOff>
      <xdr:row>7</xdr:row>
      <xdr:rowOff>130174</xdr:rowOff>
    </xdr:to>
    <xdr:sp>
      <xdr:nvSpPr>
        <xdr:cNvPr id="1385081619" name=""/>
        <xdr:cNvSpPr txBox="1"/>
      </xdr:nvSpPr>
      <xdr:spPr bwMode="auto">
        <a:xfrm rot="0" flipH="0" flipV="0">
          <a:off x="3428999" y="336549"/>
          <a:ext cx="4076699" cy="90487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b="1">
              <a:solidFill>
                <a:srgbClr val="FF0000"/>
              </a:solidFill>
            </a:rPr>
            <a:t>Sumproduct  :</a:t>
          </a:r>
          <a:endParaRPr/>
        </a:p>
        <a:p>
          <a:pPr>
            <a:defRPr/>
          </a:pPr>
          <a:endParaRPr/>
        </a:p>
        <a:p>
          <a:pPr>
            <a:defRPr/>
          </a:pPr>
          <a:r>
            <a:rPr/>
            <a:t> It is an Excel function that multiplies corresponding values in two or more arrays and then returns the sum of those products.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2" activeCellId="0" sqref="I22"/>
    </sheetView>
  </sheetViews>
  <sheetFormatPr defaultRowHeight="12.75"/>
  <cols>
    <col customWidth="1" min="1" max="9" width="12.1406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3" t="s">
        <v>1</v>
      </c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</row>
    <row r="5">
      <c r="A5" s="4" t="s">
        <v>4</v>
      </c>
      <c r="B5" s="4">
        <v>15</v>
      </c>
      <c r="C5" s="4" t="s">
        <v>5</v>
      </c>
      <c r="D5" s="1"/>
      <c r="E5" s="1"/>
      <c r="F5" s="1"/>
      <c r="G5" s="1"/>
      <c r="H5" s="1"/>
      <c r="I5" s="1"/>
      <c r="J5" s="1"/>
    </row>
    <row r="6">
      <c r="A6" s="5" t="s">
        <v>6</v>
      </c>
      <c r="B6" s="5">
        <v>10</v>
      </c>
      <c r="C6" s="5" t="s">
        <v>7</v>
      </c>
      <c r="D6" s="1"/>
      <c r="E6" s="1"/>
      <c r="F6" s="1"/>
      <c r="G6" s="1"/>
      <c r="H6" s="1"/>
      <c r="I6" s="1"/>
      <c r="J6" s="1"/>
    </row>
    <row r="7">
      <c r="A7" s="4" t="s">
        <v>8</v>
      </c>
      <c r="B7" s="4">
        <v>30</v>
      </c>
      <c r="C7" s="4" t="s">
        <v>9</v>
      </c>
      <c r="D7" s="1"/>
      <c r="E7" s="1"/>
      <c r="F7" s="1"/>
      <c r="G7" s="1"/>
      <c r="H7" s="1"/>
      <c r="I7" s="1"/>
      <c r="J7" s="1"/>
    </row>
    <row r="8">
      <c r="A8" s="5" t="s">
        <v>10</v>
      </c>
      <c r="B8" s="5">
        <v>20</v>
      </c>
      <c r="C8" s="5" t="s">
        <v>5</v>
      </c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3" t="s">
        <v>11</v>
      </c>
      <c r="C10" s="6">
        <v>130</v>
      </c>
      <c r="D10" s="1"/>
      <c r="E10" s="1"/>
      <c r="F10" s="1"/>
      <c r="G10" s="1"/>
      <c r="H10" s="1"/>
      <c r="I10" s="1"/>
      <c r="J10" s="1"/>
    </row>
    <row r="12">
      <c r="I12" s="7"/>
    </row>
  </sheetData>
  <mergeCells count="1">
    <mergeCell ref="A2:B2"/>
  </mergeCells>
  <printOptions headings="0" gridLines="0"/>
  <pageMargins left="0" right="0" top="0.39370000000000016" bottom="0.39370000000000016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0" activeCellId="0" sqref="E30"/>
    </sheetView>
  </sheetViews>
  <sheetFormatPr defaultRowHeight="12.75"/>
  <cols>
    <col customWidth="1" min="1" max="1" width="15.5703125"/>
    <col customWidth="1" min="2" max="2" width="17.42578125"/>
    <col customWidth="1" min="3" max="3" width="23.85546875"/>
    <col customWidth="1" min="4" max="5" width="12.140625"/>
    <col customWidth="1" min="6" max="6" width="45.42578125"/>
    <col customWidth="1" min="7" max="7" width="35.28515625"/>
  </cols>
  <sheetData>
    <row r="2">
      <c r="A2" s="8" t="s">
        <v>12</v>
      </c>
      <c r="B2" s="8" t="s">
        <v>13</v>
      </c>
      <c r="C2" s="8" t="s">
        <v>14</v>
      </c>
      <c r="D2" s="8" t="s">
        <v>11</v>
      </c>
    </row>
    <row r="3">
      <c r="A3" s="9">
        <v>1011</v>
      </c>
      <c r="B3" s="9">
        <v>1011</v>
      </c>
      <c r="C3" s="9">
        <v>1011</v>
      </c>
      <c r="D3" s="10">
        <v>1360</v>
      </c>
    </row>
    <row r="4">
      <c r="A4" s="11">
        <v>1012</v>
      </c>
      <c r="B4" s="11">
        <v>1012</v>
      </c>
      <c r="C4" s="11">
        <v>1012</v>
      </c>
      <c r="D4" s="12">
        <v>3078</v>
      </c>
    </row>
    <row r="5">
      <c r="A5" s="9">
        <v>1013</v>
      </c>
      <c r="B5" s="9">
        <v>1013</v>
      </c>
      <c r="C5" s="9">
        <v>1013</v>
      </c>
      <c r="D5" s="10">
        <v>756</v>
      </c>
      <c r="F5" s="13" t="s">
        <v>14</v>
      </c>
    </row>
    <row r="6">
      <c r="A6" s="11">
        <v>1014</v>
      </c>
      <c r="B6" s="11">
        <v>1014</v>
      </c>
      <c r="C6" s="11">
        <v>1014</v>
      </c>
      <c r="D6" s="12">
        <v>250</v>
      </c>
      <c r="F6" s="4" t="s">
        <v>15</v>
      </c>
    </row>
    <row r="7">
      <c r="A7" s="9">
        <v>1015</v>
      </c>
      <c r="B7" s="9">
        <v>1015</v>
      </c>
      <c r="C7" s="9">
        <v>1015</v>
      </c>
      <c r="D7" s="10">
        <v>800</v>
      </c>
    </row>
    <row r="8">
      <c r="A8" s="11">
        <v>1016</v>
      </c>
      <c r="B8" s="11">
        <v>1016</v>
      </c>
      <c r="C8" s="11">
        <v>1016</v>
      </c>
      <c r="D8" s="12">
        <v>210</v>
      </c>
    </row>
    <row r="9">
      <c r="A9" s="9">
        <v>1017</v>
      </c>
      <c r="B9" s="9">
        <v>1017</v>
      </c>
      <c r="C9" s="9">
        <v>1017</v>
      </c>
      <c r="D9" s="10">
        <v>428.39999999999998</v>
      </c>
      <c r="F9" s="14" t="s">
        <v>16</v>
      </c>
      <c r="G9" s="13" t="s">
        <v>17</v>
      </c>
    </row>
    <row r="10">
      <c r="A10" s="11">
        <v>1018</v>
      </c>
      <c r="B10" s="11">
        <v>1018</v>
      </c>
      <c r="C10" s="11">
        <v>1018</v>
      </c>
      <c r="D10" s="12">
        <v>57.380000000000003</v>
      </c>
      <c r="F10" s="15">
        <f>SUMPRODUCT((($B$3:$B$17="Brazil")+($B$3:$B$17="Venezuela"))*($C$3:$C$17=$F$6))</f>
        <v>1</v>
      </c>
      <c r="G10" s="15">
        <f>SUMPRODUCT((($B$3:$B$17="Brazil")+($B$3:$B$17="Venezuela"))*($C$3:$C$17=$F$6)*$D$3:$D$17)</f>
        <v>610.75</v>
      </c>
    </row>
    <row r="11">
      <c r="A11" s="9">
        <v>1019</v>
      </c>
      <c r="B11" s="9" t="s">
        <v>18</v>
      </c>
      <c r="C11" s="9" t="s">
        <v>15</v>
      </c>
      <c r="D11" s="9">
        <v>380</v>
      </c>
    </row>
    <row r="12">
      <c r="A12" s="11">
        <v>1020</v>
      </c>
      <c r="B12" s="11" t="s">
        <v>18</v>
      </c>
      <c r="C12" s="11" t="s">
        <v>19</v>
      </c>
      <c r="D12" s="11">
        <v>1650</v>
      </c>
    </row>
    <row r="13">
      <c r="A13" s="9">
        <v>1021</v>
      </c>
      <c r="B13" s="9" t="s">
        <v>20</v>
      </c>
      <c r="C13" s="9" t="s">
        <v>15</v>
      </c>
      <c r="D13" s="9">
        <v>610.75</v>
      </c>
    </row>
    <row r="14">
      <c r="A14" s="11">
        <v>1022</v>
      </c>
      <c r="B14" s="11" t="s">
        <v>21</v>
      </c>
      <c r="C14" s="11" t="s">
        <v>22</v>
      </c>
      <c r="D14" s="11">
        <v>475</v>
      </c>
    </row>
    <row r="15">
      <c r="A15" s="9">
        <v>1023</v>
      </c>
      <c r="B15" s="9" t="s">
        <v>23</v>
      </c>
      <c r="C15" s="9" t="s">
        <v>15</v>
      </c>
      <c r="D15" s="9">
        <v>492</v>
      </c>
    </row>
    <row r="16">
      <c r="A16" s="11">
        <v>1024</v>
      </c>
      <c r="B16" s="11" t="s">
        <v>24</v>
      </c>
      <c r="C16" s="11" t="s">
        <v>25</v>
      </c>
      <c r="D16" s="11">
        <v>156</v>
      </c>
    </row>
    <row r="17">
      <c r="A17" s="9">
        <v>1025</v>
      </c>
      <c r="B17" s="9" t="s">
        <v>24</v>
      </c>
      <c r="C17" s="9" t="s">
        <v>22</v>
      </c>
      <c r="D17" s="9">
        <v>1097.5</v>
      </c>
    </row>
    <row r="20" ht="12.75">
      <c r="B20" s="9"/>
    </row>
  </sheetData>
  <printOptions headings="0" gridLines="0"/>
  <pageMargins left="0" right="0" top="0.39370000000000016" bottom="0.39370000000000016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8" activeCellId="0" sqref="I28"/>
    </sheetView>
  </sheetViews>
  <sheetFormatPr defaultRowHeight="12.75"/>
  <cols>
    <col customWidth="1" min="1" max="1" width="14.7109375"/>
    <col customWidth="1" min="2" max="2" width="16.7109375"/>
    <col customWidth="1" min="3" max="3" width="13.7109375"/>
    <col customWidth="1" min="4" max="6" width="12.140625"/>
  </cols>
  <sheetData>
    <row r="1">
      <c r="A1" s="3" t="s">
        <v>26</v>
      </c>
      <c r="B1" s="3" t="s">
        <v>1</v>
      </c>
      <c r="C1" s="3" t="s">
        <v>27</v>
      </c>
      <c r="D1" s="3" t="s">
        <v>14</v>
      </c>
      <c r="E1" s="3" t="s">
        <v>3</v>
      </c>
      <c r="F1" s="3" t="s">
        <v>28</v>
      </c>
    </row>
    <row r="2">
      <c r="A2" s="5">
        <v>1001</v>
      </c>
      <c r="B2" s="5" t="s">
        <v>29</v>
      </c>
      <c r="C2" s="5" t="s">
        <v>30</v>
      </c>
      <c r="D2" s="5" t="s">
        <v>31</v>
      </c>
      <c r="E2" s="5">
        <v>5</v>
      </c>
      <c r="F2" s="5">
        <v>800</v>
      </c>
    </row>
    <row r="3">
      <c r="A3">
        <v>1002</v>
      </c>
      <c r="B3" t="s">
        <v>32</v>
      </c>
      <c r="C3" t="s">
        <v>33</v>
      </c>
      <c r="D3" t="s">
        <v>34</v>
      </c>
      <c r="E3">
        <v>20</v>
      </c>
      <c r="F3">
        <v>25</v>
      </c>
    </row>
    <row r="4">
      <c r="A4" s="5">
        <v>1003</v>
      </c>
      <c r="B4" s="5" t="s">
        <v>35</v>
      </c>
      <c r="C4" s="5" t="s">
        <v>36</v>
      </c>
      <c r="D4" s="5" t="s">
        <v>37</v>
      </c>
      <c r="E4" s="5">
        <v>10</v>
      </c>
      <c r="F4" s="5">
        <v>45</v>
      </c>
    </row>
    <row r="5">
      <c r="A5">
        <v>1004</v>
      </c>
      <c r="B5" t="s">
        <v>29</v>
      </c>
      <c r="C5" t="s">
        <v>33</v>
      </c>
      <c r="D5" t="s">
        <v>34</v>
      </c>
      <c r="E5">
        <v>3</v>
      </c>
      <c r="F5">
        <v>800</v>
      </c>
    </row>
    <row r="6">
      <c r="A6" s="5">
        <v>1005</v>
      </c>
      <c r="B6" s="5" t="s">
        <v>38</v>
      </c>
      <c r="C6" s="5" t="s">
        <v>39</v>
      </c>
      <c r="D6" s="5" t="s">
        <v>31</v>
      </c>
      <c r="E6" s="5">
        <v>7</v>
      </c>
      <c r="F6" s="5">
        <v>250</v>
      </c>
    </row>
    <row r="7">
      <c r="A7">
        <v>1006</v>
      </c>
      <c r="B7" t="s">
        <v>32</v>
      </c>
      <c r="C7" t="s">
        <v>30</v>
      </c>
      <c r="D7" t="s">
        <v>37</v>
      </c>
      <c r="E7">
        <v>15</v>
      </c>
      <c r="F7">
        <v>25</v>
      </c>
    </row>
    <row r="8">
      <c r="A8" s="5">
        <v>1007</v>
      </c>
      <c r="B8" s="5" t="s">
        <v>29</v>
      </c>
      <c r="C8" s="5" t="s">
        <v>36</v>
      </c>
      <c r="D8" s="5" t="s">
        <v>31</v>
      </c>
      <c r="E8" s="5">
        <v>4</v>
      </c>
      <c r="F8" s="5">
        <v>800</v>
      </c>
    </row>
    <row r="9">
      <c r="A9">
        <v>1008</v>
      </c>
      <c r="B9" t="s">
        <v>35</v>
      </c>
      <c r="C9" t="s">
        <v>33</v>
      </c>
      <c r="D9" t="s">
        <v>34</v>
      </c>
      <c r="E9">
        <v>12</v>
      </c>
      <c r="F9">
        <v>45</v>
      </c>
    </row>
    <row r="10">
      <c r="A10" s="5">
        <v>1009</v>
      </c>
      <c r="B10" s="5" t="s">
        <v>38</v>
      </c>
      <c r="C10" s="5" t="s">
        <v>30</v>
      </c>
      <c r="D10" s="5" t="s">
        <v>37</v>
      </c>
      <c r="E10" s="5">
        <v>5</v>
      </c>
      <c r="F10" s="5">
        <v>250</v>
      </c>
    </row>
    <row r="11">
      <c r="A11">
        <v>1010</v>
      </c>
      <c r="B11" t="s">
        <v>29</v>
      </c>
      <c r="C11" t="s">
        <v>39</v>
      </c>
      <c r="D11" t="s">
        <v>34</v>
      </c>
      <c r="E11">
        <v>2</v>
      </c>
      <c r="F11">
        <v>800</v>
      </c>
    </row>
    <row r="12">
      <c r="A12" s="5">
        <v>1011</v>
      </c>
      <c r="B12" s="5" t="s">
        <v>32</v>
      </c>
      <c r="C12" s="5" t="s">
        <v>36</v>
      </c>
      <c r="D12" s="5" t="s">
        <v>31</v>
      </c>
      <c r="E12" s="5">
        <v>30</v>
      </c>
      <c r="F12" s="5">
        <v>25</v>
      </c>
    </row>
    <row r="13">
      <c r="A13">
        <v>1012</v>
      </c>
      <c r="B13" t="s">
        <v>38</v>
      </c>
      <c r="C13" t="s">
        <v>33</v>
      </c>
      <c r="D13" t="s">
        <v>37</v>
      </c>
      <c r="E13">
        <v>6</v>
      </c>
      <c r="F13">
        <v>250</v>
      </c>
    </row>
    <row r="14">
      <c r="A14" s="5">
        <v>1013</v>
      </c>
      <c r="B14" s="5" t="s">
        <v>35</v>
      </c>
      <c r="C14" s="5" t="s">
        <v>30</v>
      </c>
      <c r="D14" s="5" t="s">
        <v>34</v>
      </c>
      <c r="E14" s="5">
        <v>8</v>
      </c>
      <c r="F14" s="5">
        <v>45</v>
      </c>
    </row>
    <row r="15">
      <c r="A15">
        <v>1014</v>
      </c>
      <c r="B15" t="s">
        <v>29</v>
      </c>
      <c r="C15" t="s">
        <v>30</v>
      </c>
      <c r="D15" t="s">
        <v>37</v>
      </c>
      <c r="E15">
        <v>6</v>
      </c>
      <c r="F15">
        <v>800</v>
      </c>
    </row>
    <row r="16">
      <c r="A16" s="5">
        <v>1015</v>
      </c>
      <c r="B16" s="5" t="s">
        <v>32</v>
      </c>
      <c r="C16" s="5" t="s">
        <v>39</v>
      </c>
      <c r="D16" s="5" t="s">
        <v>31</v>
      </c>
      <c r="E16" s="5">
        <v>25</v>
      </c>
      <c r="F16" s="5">
        <v>25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6" t="s">
        <v>40</v>
      </c>
      <c r="B19" s="17"/>
      <c r="C19" s="18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3" t="s">
        <v>11</v>
      </c>
      <c r="B21" s="6">
        <v>24100</v>
      </c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6" t="s">
        <v>41</v>
      </c>
      <c r="B25" s="17"/>
      <c r="C25" s="18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3" t="s">
        <v>11</v>
      </c>
      <c r="B27" s="6">
        <v>24105</v>
      </c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6" t="s">
        <v>42</v>
      </c>
      <c r="B32" s="17"/>
      <c r="C32" s="18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3" t="s">
        <v>11</v>
      </c>
      <c r="B34" s="6">
        <v>24108</v>
      </c>
      <c r="C34" s="1"/>
      <c r="D34" s="1"/>
      <c r="E34" s="1"/>
      <c r="F34" s="1"/>
    </row>
  </sheetData>
  <mergeCells count="3">
    <mergeCell ref="A19:C19"/>
    <mergeCell ref="A25:C25"/>
    <mergeCell ref="A32:C32"/>
  </mergeCells>
  <printOptions headings="0" gridLines="0"/>
  <pageMargins left="0" right="0" top="0.39370000000000016" bottom="0.39370000000000016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44</cp:revision>
  <dcterms:created xsi:type="dcterms:W3CDTF">2026-09-04T22:29:48Z</dcterms:created>
  <dcterms:modified xsi:type="dcterms:W3CDTF">2026-09-04T18:20:05Z</dcterms:modified>
  <cp:category/>
  <cp:contentStatus/>
</cp:coreProperties>
</file>